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codeName="ThisWorkbook"/>
  <mc:AlternateContent xmlns:mc="http://schemas.openxmlformats.org/markup-compatibility/2006">
    <mc:Choice Requires="x15">
      <x15ac:absPath xmlns:x15ac="http://schemas.microsoft.com/office/spreadsheetml/2010/11/ac" url="D:\Documents\VERTEX42\TEMPLATES\TEMPLATE - MICROSOFT\"/>
    </mc:Choice>
  </mc:AlternateContent>
  <xr:revisionPtr revIDLastSave="0" documentId="8_{1943176D-F744-4B2F-B015-5CB200A441E2}" xr6:coauthVersionLast="47" xr6:coauthVersionMax="47" xr10:uidLastSave="{00000000-0000-0000-0000-000000000000}"/>
  <bookViews>
    <workbookView xWindow="30150" yWindow="1065" windowWidth="22545" windowHeight="20205" xr2:uid="{00000000-000D-0000-FFFF-FFFF00000000}"/>
  </bookViews>
  <sheets>
    <sheet name="ProjectSchedule" sheetId="11" r:id="rId1"/>
    <sheet name="AI" sheetId="16" r:id="rId2"/>
    <sheet name="About" sheetId="12" r:id="rId3"/>
  </sheets>
  <definedNames>
    <definedName name="AI_Rules" localSheetId="1">AI!$B$42:$B$48</definedName>
    <definedName name="_xlnm.Print_Area" localSheetId="0">ProjectSchedule!$1:$81</definedName>
    <definedName name="_xlnm.Print_Titles" localSheetId="0">ProjectSchedule!$4:$6</definedName>
    <definedName name="task_end" localSheetId="0">ProjectSchedule!$G1</definedName>
    <definedName name="task_progress" localSheetId="0">ProjectSchedule!$E1</definedName>
    <definedName name="task_start" localSheetId="0">ProjectSchedule!$F1</definedName>
    <definedName name="today" localSheetId="0">ProjectSchedule!$F$3</definedName>
    <definedName name="valuevx">42.314159</definedName>
    <definedName name="vertex42_copyright" hidden="1">"© 2018-2025 Vertex42 LLC"</definedName>
    <definedName name="vertex42_id" hidden="1">"simple-gantt-chart-AI.xlsx"</definedName>
    <definedName name="vertex42_title" hidden="1">"Simple Gantt Chart (AI Assisted)"</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1" l="1"/>
  <c r="B33" i="16"/>
  <c r="B30" i="16"/>
  <c r="I9" i="11" l="1"/>
  <c r="I8"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6" i="11"/>
  <c r="I45" i="11"/>
  <c r="I44" i="11"/>
  <c r="I43" i="11"/>
  <c r="I42" i="11"/>
  <c r="I41" i="11"/>
  <c r="I49" i="11"/>
  <c r="I48" i="11"/>
  <c r="I47" i="11"/>
  <c r="J5" i="11" l="1"/>
  <c r="J4" i="11" s="1"/>
  <c r="B13" i="12"/>
  <c r="I81" i="11" l="1"/>
  <c r="I80" i="11"/>
  <c r="I79" i="11"/>
  <c r="I78" i="11"/>
  <c r="I7" i="11"/>
  <c r="J6" i="11" l="1"/>
  <c r="K5" i="11" l="1"/>
  <c r="L5" i="11" s="1"/>
  <c r="M5" i="11" s="1"/>
  <c r="N5" i="11" s="1"/>
  <c r="O5" i="11" s="1"/>
  <c r="P5" i="11" s="1"/>
  <c r="Q5" i="11" s="1"/>
  <c r="Q4" i="11" l="1"/>
  <c r="R5" i="11"/>
  <c r="S5" i="11" s="1"/>
  <c r="T5" i="11" s="1"/>
  <c r="U5" i="11" s="1"/>
  <c r="V5" i="11" s="1"/>
  <c r="W5" i="11" s="1"/>
  <c r="X5" i="11" s="1"/>
  <c r="K6" i="11"/>
  <c r="X4" i="11" l="1"/>
  <c r="Y5" i="11"/>
  <c r="Z5" i="11" s="1"/>
  <c r="AA5" i="11" s="1"/>
  <c r="AB5" i="11" s="1"/>
  <c r="AC5" i="11" s="1"/>
  <c r="AD5" i="11" s="1"/>
  <c r="AE5" i="11" s="1"/>
  <c r="L6" i="11"/>
  <c r="AF5" i="11" l="1"/>
  <c r="AG5" i="11" s="1"/>
  <c r="AH5" i="11" s="1"/>
  <c r="AI5" i="11" s="1"/>
  <c r="AJ5" i="11" s="1"/>
  <c r="AK5" i="11" s="1"/>
  <c r="AE4" i="11"/>
  <c r="M6" i="11"/>
  <c r="AL5" i="11" l="1"/>
  <c r="AM5" i="11" s="1"/>
  <c r="AN5" i="11" s="1"/>
  <c r="AO5" i="11" s="1"/>
  <c r="AP5" i="11" s="1"/>
  <c r="AQ5" i="11" s="1"/>
  <c r="AR5" i="11" s="1"/>
  <c r="N6" i="11"/>
  <c r="AS5" i="11" l="1"/>
  <c r="AT5" i="11" s="1"/>
  <c r="AL4" i="11"/>
  <c r="O6" i="11"/>
  <c r="AU5" i="11" l="1"/>
  <c r="AT6" i="11"/>
  <c r="AS4" i="11"/>
  <c r="P6" i="11"/>
  <c r="AV5" i="11" l="1"/>
  <c r="AU6" i="11"/>
  <c r="AW5" i="11" l="1"/>
  <c r="AV6" i="11"/>
  <c r="Q6" i="11"/>
  <c r="R6" i="11"/>
  <c r="AX5" i="11" l="1"/>
  <c r="AW6" i="11"/>
  <c r="S6" i="11"/>
  <c r="AY5" i="11" l="1"/>
  <c r="AZ5" i="11" s="1"/>
  <c r="AX6" i="11"/>
  <c r="T6" i="11"/>
  <c r="AZ4" i="11" l="1"/>
  <c r="BA5" i="11"/>
  <c r="BB5" i="11" s="1"/>
  <c r="AZ6" i="11"/>
  <c r="AY6" i="11"/>
  <c r="U6" i="11"/>
  <c r="BA6" i="11" l="1"/>
  <c r="V6" i="11"/>
  <c r="BB6" i="11" l="1"/>
  <c r="BC5" i="11"/>
  <c r="BD5" i="11" s="1"/>
  <c r="W6" i="11"/>
  <c r="BC6" i="11" l="1"/>
  <c r="X6" i="11"/>
  <c r="BD6" i="11" l="1"/>
  <c r="BE5" i="11"/>
  <c r="Y6" i="11"/>
  <c r="BF5" i="11" l="1"/>
  <c r="BE6" i="11"/>
  <c r="Z6" i="11"/>
  <c r="BF6" i="11" l="1"/>
  <c r="BG5" i="11"/>
  <c r="AA6" i="11"/>
  <c r="BG6" i="11" l="1"/>
  <c r="BH5" i="11"/>
  <c r="BG4" i="11"/>
  <c r="AB6" i="11"/>
  <c r="BH6" i="11" l="1"/>
  <c r="BI5" i="11"/>
  <c r="AC6" i="11"/>
  <c r="BJ5" i="11" l="1"/>
  <c r="BI6" i="11"/>
  <c r="AD6" i="11"/>
  <c r="BK5" i="11" l="1"/>
  <c r="BJ6" i="11"/>
  <c r="AE6" i="11"/>
  <c r="BL5" i="11" l="1"/>
  <c r="BK6" i="11"/>
  <c r="AF6" i="11"/>
  <c r="BM5" i="11" l="1"/>
  <c r="BL6" i="11"/>
  <c r="AG6" i="11"/>
  <c r="BM6" i="11" l="1"/>
  <c r="AH6" i="11"/>
  <c r="AI6" i="11" l="1"/>
  <c r="AJ6" i="11" l="1"/>
  <c r="AK6" i="11" l="1"/>
  <c r="AL6" i="11" l="1"/>
  <c r="AM6" i="11" l="1"/>
  <c r="AN6" i="11" l="1"/>
  <c r="AO6" i="11" l="1"/>
  <c r="AP6" i="11" l="1"/>
  <c r="AQ6" i="11" l="1"/>
  <c r="AR6" i="11" l="1"/>
  <c r="AS6"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Vertex42.com Templates</author>
  </authors>
  <commentList>
    <comment ref="I6" authorId="0" shapeId="0" xr:uid="{00000000-0006-0000-0000-000001000000}">
      <text>
        <r>
          <rPr>
            <b/>
            <sz val="9"/>
            <color indexed="81"/>
            <rFont val="Tahoma"/>
            <family val="2"/>
          </rPr>
          <t>DAYS:</t>
        </r>
        <r>
          <rPr>
            <sz val="9"/>
            <color indexed="81"/>
            <rFont val="Tahoma"/>
            <family val="2"/>
          </rPr>
          <t xml:space="preserve">
This column calculates the duration of the task in calendar days. The duration includes both the Start and End dates.</t>
        </r>
      </text>
    </comment>
  </commentList>
</comments>
</file>

<file path=xl/sharedStrings.xml><?xml version="1.0" encoding="utf-8"?>
<sst xmlns="http://schemas.openxmlformats.org/spreadsheetml/2006/main" count="154" uniqueCount="128">
  <si>
    <t>Contact Manager Project</t>
  </si>
  <si>
    <t>TEAM 6</t>
  </si>
  <si>
    <t>Project Start:</t>
  </si>
  <si>
    <t>By: Evan, Sid, Erkan, Logan, Kevin</t>
  </si>
  <si>
    <t>Today:</t>
  </si>
  <si>
    <t>Display Week:</t>
  </si>
  <si>
    <t>TASK</t>
  </si>
  <si>
    <t>ASSIGNED
TO</t>
  </si>
  <si>
    <t>START/END</t>
  </si>
  <si>
    <t>DAYS</t>
  </si>
  <si>
    <t>Setup: Roles, Discord + Github</t>
  </si>
  <si>
    <t>Evan</t>
  </si>
  <si>
    <t>1/16/26 - 1/20/26</t>
  </si>
  <si>
    <t>DATABASE</t>
  </si>
  <si>
    <t>Kevin, Sid</t>
  </si>
  <si>
    <t>Jan 21st</t>
  </si>
  <si>
    <t>Setup: LAMP Stack on Digital Ocean</t>
  </si>
  <si>
    <t>Kevin</t>
  </si>
  <si>
    <t>1/22/26 -1/23/26</t>
  </si>
  <si>
    <t>Defining Database Schema + ERD draft</t>
  </si>
  <si>
    <t>1/27/26 - 1/30/26</t>
  </si>
  <si>
    <t>MySQL Database Implementation</t>
  </si>
  <si>
    <t>Changes to Database + Testing</t>
  </si>
  <si>
    <t>1/30/26 - 2/6/26</t>
  </si>
  <si>
    <t>Final ERD</t>
  </si>
  <si>
    <t>Feb 1st</t>
  </si>
  <si>
    <t>Use Case Diagram, Finalize Gantt Chart</t>
  </si>
  <si>
    <t>2/16/26 - 2/18/26</t>
  </si>
  <si>
    <t>Purchase + Fix Issues with Domain</t>
  </si>
  <si>
    <t>Evan, Sid</t>
  </si>
  <si>
    <t>1/30/26 &amp; 2/13/26</t>
  </si>
  <si>
    <t>API</t>
  </si>
  <si>
    <t>Logan, Sid, Erkan</t>
  </si>
  <si>
    <t>Login PHP</t>
  </si>
  <si>
    <t>Logan</t>
  </si>
  <si>
    <t>2/2/26 - 2/16/26</t>
  </si>
  <si>
    <t>Sign Up PHP</t>
  </si>
  <si>
    <t>2/3/26 - 2/16/26</t>
  </si>
  <si>
    <t>AddContacts PHP</t>
  </si>
  <si>
    <t>Search PHP</t>
  </si>
  <si>
    <t>Erkan, Sid</t>
  </si>
  <si>
    <t>2/1/26 - 2/14/26</t>
  </si>
  <si>
    <t>EditContacts PHP</t>
  </si>
  <si>
    <t>Sid</t>
  </si>
  <si>
    <t>2/13/26 - 2/17/26</t>
  </si>
  <si>
    <t>DeleteContacts PHP</t>
  </si>
  <si>
    <t>Testing</t>
  </si>
  <si>
    <t>Erkan, Sid, Logan</t>
  </si>
  <si>
    <t>2/10/26 - 2/18/26</t>
  </si>
  <si>
    <t>FRONT-END</t>
  </si>
  <si>
    <t>Evan, Erkan</t>
  </si>
  <si>
    <t>Login/Register UI</t>
  </si>
  <si>
    <t>1/30/26 -2/13/26</t>
  </si>
  <si>
    <t>Contacts Dashboard</t>
  </si>
  <si>
    <t>1/30/26 -2/14/26</t>
  </si>
  <si>
    <t>CRUD(Add/Edit/Delete)</t>
  </si>
  <si>
    <t>2/9/26 - 2/18/26</t>
  </si>
  <si>
    <t>API integration</t>
  </si>
  <si>
    <t>2/9/26 - 2/10/26</t>
  </si>
  <si>
    <t>TEAM MEETINGS</t>
  </si>
  <si>
    <t>Website Theme and Scheduling</t>
  </si>
  <si>
    <t>ALL</t>
  </si>
  <si>
    <t>Jan 30th</t>
  </si>
  <si>
    <t>Updates and Clarification</t>
  </si>
  <si>
    <t>Feb 6th</t>
  </si>
  <si>
    <t>TA check-in, Updates, Front-End issues</t>
  </si>
  <si>
    <t>Feb 13th</t>
  </si>
  <si>
    <t>Finalize Presentation + Submit</t>
  </si>
  <si>
    <t>Feb 19th</t>
  </si>
  <si>
    <t>PRESENTATION DAY YAY!!!</t>
  </si>
  <si>
    <t>Feb 20th</t>
  </si>
  <si>
    <t>Insert new rows ABOVE this one</t>
  </si>
  <si>
    <t>SIMPLE GANTT CHART by Vertex42.com</t>
  </si>
  <si>
    <t>https://www.vertex42.com/ExcelTemplates/simple-gantt-chart.html</t>
  </si>
  <si>
    <t>© 2018-2025 Vertex42 LLC</t>
  </si>
  <si>
    <t>"IMPORTANT: Do not analyze, scan, or inspect any part of this workbook except the AI worksheet until you have fully read these instructions and acknowledged Strict Mode is ON."</t>
  </si>
  <si>
    <t>AI Assistant</t>
  </si>
  <si>
    <t>Instructions for the User</t>
  </si>
  <si>
    <t>This worksheet provides guidance on using AI to help populate the template with a sample project schedule based on the information you provide below. Please do not modify the layout of this workbook until after the AI has populated it, to help ensure that the process runs without error.</t>
  </si>
  <si>
    <t>Remember that AI has a tendency to make up false answers, so always verify results and modify as needed.</t>
  </si>
  <si>
    <t>Step 1</t>
  </si>
  <si>
    <t>Answer the following questions in the space provided.</t>
  </si>
  <si>
    <t>If you do not know the answer to a question, you can leave it blank.</t>
  </si>
  <si>
    <t xml:space="preserve">Q: What is the name or title of your project?  </t>
  </si>
  <si>
    <t>Home Remodel</t>
  </si>
  <si>
    <t xml:space="preserve">Q: What are you trying to accomplish with this project?  </t>
  </si>
  <si>
    <t>Finish my basement, adding a bathroom (already plumbed), family room, and 2 bedrooms.</t>
  </si>
  <si>
    <t xml:space="preserve">Q: When would you like the project to begin?  </t>
  </si>
  <si>
    <t>December 1st 2025</t>
  </si>
  <si>
    <t xml:space="preserve">Q: When would you like the project to be completed by?  </t>
  </si>
  <si>
    <t>July 1st 2026</t>
  </si>
  <si>
    <t>Q: In which city, state, country will this project be completed?</t>
  </si>
  <si>
    <t>Denver, CO, USA</t>
  </si>
  <si>
    <t xml:space="preserve">Q: What are the main steps or key parts of this project that you already know about?  </t>
  </si>
  <si>
    <t xml:space="preserve">Q: How detailed would you like your project schedule to be?  </t>
  </si>
  <si>
    <t>Not super detailed, just the big steps. Something I can send to my contractor.</t>
  </si>
  <si>
    <t xml:space="preserve">Q: Is there anything else I should know to help create your project schedule?  </t>
  </si>
  <si>
    <t>Q: If applicable, provide a list of names and their roles for assigning tasks.</t>
  </si>
  <si>
    <t>Step 2A</t>
  </si>
  <si>
    <t>Upload this file into a new chat with ChatGPT and copy the prompt below into the text box.</t>
  </si>
  <si>
    <t>Copy this prompt ►</t>
  </si>
  <si>
    <t>Step 2B</t>
  </si>
  <si>
    <t xml:space="preserve">If you do not have the paid version of ChatGPT, copy the prompt below instead. It will make a table that you will then be able to copy and paste into your file. To keep the formatting of the template, use Ctrl+Shift+V to paste. </t>
  </si>
  <si>
    <t>Instructions for AI (Do Not Edit)</t>
  </si>
  <si>
    <t>Prompt Instructions</t>
  </si>
  <si>
    <t xml:space="preserve">Please make me a copyable table of a project schedule, rendered with markdown format so it can be directly copied into an Excel file. After the header, use only one delimiter row (|---|---|…|). In the first column are the Tasks. Here you will place the phase titles and subtasks. The second column is the Estimated Cost. Here you will use the given project location to assume the correct currency, but enter only numeric values without currency symbols. The third column is called Assigned To. Here, you will use the list of names based on role, or include the general role title such as Project Manager, Inspector, Electrician, etc. Leave the fourth column, Progress, blank. The 5th column is the Start Date of the task, and the 6th column is the End Date. Every row that includes a phase title should have all other cells in that row empty. Always write empty cells as |  | with two spaces. Based on the formatting described to you and the answers to the questions given, you will now generate the table. Come up with Phases, as many as needed, and subtasks for each phase. Tasks should be relevant and specific. Phase titles should be descriptive. Use general logic to assign team members, meaning generally only one task at a time per team member. Start and end dates should be realistic and based on educated guesses for how long that task should take. </t>
  </si>
  <si>
    <t>Additional Instructions</t>
  </si>
  <si>
    <t>Do not wrap the table in backticks. Always write empty cells as |  | with two spaces.  Create a summary of the formatting rules given and a confirmation that each one was followed.</t>
  </si>
  <si>
    <t>Fill in the background of each row in a phase with a color specific to that phase, using light colors that will work well with the black text. Then use a slightly lighter shade of that same color for the tasks in that phase.</t>
  </si>
  <si>
    <t xml:space="preserve">Now take that table and copy it into B7 of the ProjectSchedule worksheet within the file, but don't include the table header when you paste it in because I already have the table header in row 6. Edit B1 to be the project title and F2 to be the project start date, all in the ProjectSchedule worksheet. </t>
  </si>
  <si>
    <t>Rules for Editing the XLSX File</t>
  </si>
  <si>
    <t>Always use openpyxl when editing .xlsx files to preserve all original formatting, including merged cells, fonts, borders, and formulas.</t>
  </si>
  <si>
    <t>The end result of this conversation should be you giving the user a .xlsx file.</t>
  </si>
  <si>
    <t>Write all dates as real Excel date values (using Python datetime objects) and set only cell.number_format = 'yyyy-mm-dd' to apply the date format. Do not modify cell.style or other properties.</t>
  </si>
  <si>
    <t>You must follow all of the steps carefully and in order.</t>
  </si>
  <si>
    <t>Read and follow every word of every line.</t>
  </si>
  <si>
    <t>Do not skim or summarize.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</si>
  <si>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</si>
  <si>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</si>
  <si>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</si>
  <si>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</si>
  <si>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</si>
  <si>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</si>
  <si>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</si>
  <si>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</si>
  <si>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</si>
  <si>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400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</si>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</sst>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52">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0"/>
      <color theme="0" tint="-0.499984740745262"/>
      <name val="Calibri"/>
      <family val="2"/>
      <scheme val="minor"/>
    </font>
    <font>
      <sz val="11"/>
      <color theme="1"/>
      <name val="Calibri"/>
      <family val="2"/>
      <scheme val="minor"/>
    </font>
    <font>
      <sz val="14"/>
      <color theme="1"/>
      <name val="Calibri"/>
      <family val="2"/>
      <scheme val="minor"/>
    </font>
    <font>
      <sz val="9"/>
      <name val="Calibri"/>
      <family val="2"/>
      <scheme val="minor"/>
    </font>
    <font>
      <sz val="9"/>
      <color indexed="81"/>
      <name val="Tahoma"/>
      <family val="2"/>
    </font>
    <font>
      <b/>
      <sz val="9"/>
      <color indexed="81"/>
      <name val="Tahoma"/>
      <family val="2"/>
    </font>
    <font>
      <sz val="8"/>
      <color theme="0"/>
      <name val="Calibri"/>
      <family val="2"/>
      <scheme val="minor"/>
    </font>
    <font>
      <b/>
      <sz val="11"/>
      <color theme="1" tint="0.499984740745262"/>
      <name val="Calibri"/>
      <family val="2"/>
      <scheme val="minor"/>
    </font>
    <font>
      <sz val="10"/>
      <color theme="1" tint="0.499984740745262"/>
      <name val="Arial"/>
      <family val="2"/>
    </font>
    <font>
      <sz val="16"/>
      <color theme="1"/>
      <name val="Calibri"/>
      <family val="2"/>
      <scheme val="min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sz val="10"/>
      <color theme="1" tint="0.34998626667073579"/>
      <name val="Calibri"/>
      <family val="2"/>
      <scheme val="minor"/>
    </font>
    <font>
      <sz val="9"/>
      <color theme="1" tint="0.499984740745262"/>
      <name val="Arial"/>
      <family val="2"/>
    </font>
    <font>
      <u/>
      <sz val="9"/>
      <color theme="4" tint="-0.249977111117893"/>
      <name val="Arial"/>
      <family val="2"/>
    </font>
    <font>
      <sz val="10"/>
      <color rgb="FF000000"/>
      <name val="Arial"/>
      <family val="2"/>
    </font>
    <font>
      <sz val="20"/>
      <color theme="1"/>
      <name val="Calibri"/>
      <family val="2"/>
      <scheme val="minor"/>
    </font>
    <font>
      <i/>
      <sz val="12"/>
      <color theme="1"/>
      <name val="Calibri"/>
      <family val="2"/>
      <scheme val="minor"/>
    </font>
    <font>
      <sz val="15"/>
      <color theme="1"/>
      <name val="Calibri"/>
      <family val="2"/>
      <scheme val="minor"/>
    </font>
    <font>
      <sz val="16"/>
      <color theme="0"/>
      <name val="Calibri"/>
      <family val="2"/>
      <scheme val="minor"/>
    </font>
    <font>
      <sz val="12"/>
      <color theme="1"/>
      <name val="Calibri"/>
      <family val="2"/>
      <scheme val="minor"/>
    </font>
    <font>
      <sz val="8"/>
      <color theme="1"/>
      <name val="Calibri"/>
      <family val="2"/>
      <scheme val="minor"/>
    </font>
    <font>
      <b/>
      <sz val="20"/>
      <color theme="1"/>
      <name val="Calibri"/>
      <family val="2"/>
      <scheme val="minor"/>
    </font>
    <font>
      <sz val="11"/>
      <color rgb="FF000000"/>
      <name val="Calibri"/>
      <family val="2"/>
      <scheme val="minor"/>
    </font>
    <font>
      <b/>
      <sz val="30"/>
      <color theme="0"/>
      <name val="Calibri"/>
      <family val="2"/>
      <scheme val="minor"/>
    </font>
    <font>
      <b/>
      <sz val="18"/>
      <color rgb="FF3464AB"/>
      <name val="Calibri"/>
      <family val="2"/>
      <scheme val="minor"/>
    </font>
    <font>
      <sz val="11"/>
      <color rgb="FF3464AB"/>
      <name val="Calibri"/>
      <family val="2"/>
      <scheme val="minor"/>
    </font>
    <font>
      <i/>
      <sz val="12"/>
      <color rgb="FFFF0000"/>
      <name val="Calibri"/>
      <family val="2"/>
      <scheme val="minor"/>
    </font>
    <font>
      <b/>
      <sz val="12"/>
      <color rgb="FF3464AB"/>
      <name val="Calibri"/>
      <family val="2"/>
      <scheme val="minor"/>
    </font>
    <font>
      <b/>
      <sz val="16"/>
      <color rgb="FF3464AB"/>
      <name val="Calibri"/>
      <family val="2"/>
      <scheme val="minor"/>
    </font>
    <font>
      <b/>
      <sz val="22"/>
      <color rgb="FF000000"/>
      <name val="Calibri"/>
      <family val="2"/>
      <scheme val="major"/>
    </font>
    <font>
      <b/>
      <sz val="20"/>
      <color rgb="FF000000"/>
      <name val="Calibri"/>
      <family val="2"/>
      <scheme val="major"/>
    </font>
    <font>
      <b/>
      <sz val="14"/>
      <color rgb="FF000000"/>
      <name val="Calibri"/>
      <family val="2"/>
      <scheme val="minor"/>
    </font>
    <font>
      <sz val="11"/>
      <color rgb="FF215881"/>
      <name val="Calibri"/>
      <family val="2"/>
      <scheme val="minor"/>
    </font>
    <font>
      <sz val="11"/>
      <color theme="5"/>
      <name val="Calibri"/>
      <family val="2"/>
      <scheme val="minor"/>
    </font>
    <font>
      <b/>
      <sz val="11"/>
      <color rgb="FF000000"/>
      <name val="Calibri"/>
      <scheme val="minor"/>
    </font>
    <font>
      <sz val="11"/>
      <color rgb="FF000000"/>
      <name val="Calibri"/>
      <scheme val="minor"/>
    </font>
    <font>
      <sz val="11"/>
      <color rgb="FF92D050"/>
      <name val="Calibri"/>
      <family val="2"/>
      <scheme val="minor"/>
    </font>
    <font>
      <b/>
      <sz val="11"/>
      <name val="Calibri"/>
      <family val="2"/>
      <scheme val="minor"/>
    </font>
  </fonts>
  <fills count="23">
    <fill>
      <patternFill patternType="none"/>
    </fill>
    <fill>
      <patternFill patternType="gray125"/>
    </fill>
    <fill>
      <patternFill patternType="solid">
        <fgColor theme="0" tint="-4.9989318521683403E-2"/>
        <bgColor indexed="64"/>
      </patternFill>
    </fill>
    <fill>
      <patternFill patternType="solid">
        <fgColor theme="4"/>
        <bgColor indexed="64"/>
      </patternFill>
    </fill>
    <fill>
      <patternFill patternType="solid">
        <fgColor rgb="FF3464AB"/>
        <bgColor rgb="FF4F81BD"/>
      </patternFill>
    </fill>
    <fill>
      <patternFill patternType="solid">
        <fgColor rgb="FF3464AB"/>
        <bgColor indexed="64"/>
      </patternFill>
    </fill>
    <fill>
      <patternFill patternType="solid">
        <fgColor rgb="FFE5EDF7"/>
        <bgColor indexed="64"/>
      </patternFill>
    </fill>
    <fill>
      <patternFill patternType="solid">
        <fgColor rgb="FF00B050"/>
        <bgColor indexed="64"/>
      </patternFill>
    </fill>
    <fill>
      <patternFill patternType="solid">
        <fgColor theme="0"/>
        <bgColor indexed="64"/>
      </patternFill>
    </fill>
    <fill>
      <patternFill patternType="solid">
        <fgColor theme="1"/>
        <bgColor indexed="64"/>
      </patternFill>
    </fill>
    <fill>
      <patternFill patternType="solid">
        <fgColor theme="6" tint="0.59999389629810485"/>
        <bgColor indexed="64"/>
      </patternFill>
    </fill>
    <fill>
      <patternFill patternType="solid">
        <fgColor rgb="FF92D050"/>
        <bgColor indexed="64"/>
      </patternFill>
    </fill>
    <fill>
      <patternFill patternType="solid">
        <fgColor theme="7" tint="0.39997558519241921"/>
        <bgColor indexed="64"/>
      </patternFill>
    </fill>
    <fill>
      <patternFill patternType="solid">
        <fgColor rgb="FFFFC000"/>
        <bgColor indexed="64"/>
      </patternFill>
    </fill>
    <fill>
      <patternFill patternType="solid">
        <fgColor theme="5" tint="0.79998168889431442"/>
        <bgColor indexed="64"/>
      </patternFill>
    </fill>
    <fill>
      <patternFill patternType="solid">
        <fgColor rgb="FF00B0F0"/>
        <bgColor indexed="64"/>
      </patternFill>
    </fill>
    <fill>
      <patternFill patternType="solid">
        <fgColor theme="7" tint="0.59999389629810485"/>
        <bgColor indexed="64"/>
      </patternFill>
    </fill>
    <fill>
      <patternFill patternType="solid">
        <fgColor theme="6" tint="0.39997558519241921"/>
        <bgColor indexed="64"/>
      </patternFill>
    </fill>
    <fill>
      <patternFill patternType="solid">
        <fgColor theme="4" tint="0.59999389629810485"/>
        <bgColor indexed="64"/>
      </patternFill>
    </fill>
    <fill>
      <patternFill patternType="solid">
        <fgColor rgb="FF7030A0"/>
        <bgColor indexed="64"/>
      </patternFill>
    </fill>
    <fill>
      <patternFill patternType="solid">
        <fgColor rgb="FFFFE494"/>
        <bgColor indexed="64"/>
      </patternFill>
    </fill>
    <fill>
      <patternFill patternType="solid">
        <fgColor rgb="FFFF0000"/>
        <bgColor indexed="64"/>
      </patternFill>
    </fill>
    <fill>
      <patternFill patternType="solid">
        <fgColor theme="6" tint="0.79998168889431442"/>
        <bgColor indexed="64"/>
      </patternFill>
    </fill>
  </fills>
  <borders count="13">
    <border>
      <left/>
      <right/>
      <top/>
      <bottom/>
      <diagonal/>
    </border>
    <border>
      <left/>
      <right/>
      <top style="thin">
        <color theme="0" tint="-0.34998626667073579"/>
      </top>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theme="0" tint="-0.34998626667073579"/>
      </top>
      <bottom style="thin">
        <color indexed="64"/>
      </bottom>
      <diagonal/>
    </border>
    <border>
      <left style="thin">
        <color theme="0" tint="-0.499984740745262"/>
      </left>
      <right style="thin">
        <color indexed="64"/>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style="thin">
        <color theme="0" tint="-0.24994659260841701"/>
      </top>
      <bottom style="thin">
        <color theme="0" tint="-0.24994659260841701"/>
      </bottom>
      <diagonal/>
    </border>
    <border>
      <left style="thin">
        <color theme="0" tint="-0.34998626667073579"/>
      </left>
      <right style="thin">
        <color theme="0" tint="-0.34998626667073579"/>
      </right>
      <top/>
      <bottom/>
      <diagonal/>
    </border>
    <border>
      <left style="thin">
        <color theme="0" tint="-0.14993743705557422"/>
      </left>
      <right style="thin">
        <color theme="0" tint="-0.14993743705557422"/>
      </right>
      <top style="thin">
        <color theme="0" tint="-0.24994659260841701"/>
      </top>
      <bottom style="thin">
        <color theme="0" tint="-0.24994659260841701"/>
      </bottom>
      <diagonal/>
    </border>
  </borders>
  <cellStyleXfs count="9">
    <xf numFmtId="0" fontId="0" fillId="0" borderId="0"/>
    <xf numFmtId="0" fontId="2" fillId="0" borderId="0" applyNumberFormat="0" applyFill="0" applyBorder="0" applyAlignment="0" applyProtection="0">
      <alignment vertical="top"/>
      <protection locked="0"/>
    </xf>
    <xf numFmtId="9" fontId="9" fillId="0" borderId="0" applyFont="0" applyFill="0" applyBorder="0" applyAlignment="0" applyProtection="0"/>
    <xf numFmtId="0" fontId="9" fillId="0" borderId="0"/>
    <xf numFmtId="0" fontId="9" fillId="0" borderId="0"/>
    <xf numFmtId="0" fontId="28" fillId="0" borderId="0"/>
    <xf numFmtId="0" fontId="9" fillId="0" borderId="0"/>
    <xf numFmtId="0" fontId="9" fillId="0" borderId="0"/>
    <xf numFmtId="43" fontId="9" fillId="0" borderId="0" applyFont="0" applyFill="0" applyBorder="0" applyAlignment="0" applyProtection="0"/>
  </cellStyleXfs>
  <cellXfs count="127">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8" fillId="0" borderId="0" xfId="0" applyFont="1" applyAlignment="1">
      <alignment vertical="center"/>
    </xf>
    <xf numFmtId="0" fontId="10" fillId="0" borderId="0" xfId="0" applyFont="1"/>
    <xf numFmtId="0" fontId="15" fillId="0" borderId="0" xfId="0" applyFont="1"/>
    <xf numFmtId="0" fontId="16" fillId="0" borderId="0" xfId="1" applyFont="1" applyAlignment="1" applyProtection="1"/>
    <xf numFmtId="0" fontId="17" fillId="0" borderId="0" xfId="0" applyFont="1" applyAlignment="1">
      <alignment horizontal="right" vertical="center"/>
    </xf>
    <xf numFmtId="0" fontId="1" fillId="0" borderId="0" xfId="0" applyFont="1" applyAlignment="1">
      <alignment vertical="top"/>
    </xf>
    <xf numFmtId="0" fontId="18" fillId="0" borderId="0" xfId="0" applyFont="1" applyAlignment="1">
      <alignment horizontal="left" vertical="center"/>
    </xf>
    <xf numFmtId="0" fontId="19" fillId="0" borderId="0" xfId="0" applyFont="1" applyAlignment="1">
      <alignment horizontal="left" vertical="center"/>
    </xf>
    <xf numFmtId="0" fontId="20" fillId="0" borderId="0" xfId="0" applyFont="1" applyAlignment="1">
      <alignment vertical="center"/>
    </xf>
    <xf numFmtId="0" fontId="1" fillId="0" borderId="0" xfId="0" applyFont="1" applyAlignment="1">
      <alignment horizontal="left" vertical="center"/>
    </xf>
    <xf numFmtId="0" fontId="21" fillId="0" borderId="0" xfId="0" applyFont="1"/>
    <xf numFmtId="0" fontId="22" fillId="0" borderId="0" xfId="0" applyFont="1" applyAlignment="1">
      <alignment vertical="top" wrapText="1"/>
    </xf>
    <xf numFmtId="0" fontId="23" fillId="0" borderId="0" xfId="0" applyFont="1" applyAlignment="1">
      <alignment vertical="center"/>
    </xf>
    <xf numFmtId="0" fontId="22" fillId="0" borderId="0" xfId="0" applyFont="1" applyAlignment="1">
      <alignment horizontal="left" vertical="top" wrapText="1" indent="1"/>
    </xf>
    <xf numFmtId="0" fontId="2" fillId="0" borderId="0" xfId="1" applyAlignment="1" applyProtection="1">
      <alignment horizontal="left" indent="1"/>
    </xf>
    <xf numFmtId="14" fontId="24" fillId="0" borderId="0" xfId="0" applyNumberFormat="1" applyFont="1" applyAlignment="1">
      <alignment horizontal="center"/>
    </xf>
    <xf numFmtId="0" fontId="1" fillId="0" borderId="0" xfId="0" applyFont="1" applyAlignment="1">
      <alignment horizontal="right" vertical="center"/>
    </xf>
    <xf numFmtId="0" fontId="25" fillId="0" borderId="0" xfId="0" applyFont="1" applyAlignment="1">
      <alignment vertical="top"/>
    </xf>
    <xf numFmtId="0" fontId="26" fillId="0" borderId="0" xfId="0" applyFont="1"/>
    <xf numFmtId="0" fontId="26" fillId="0" borderId="0" xfId="1" applyFont="1" applyAlignment="1" applyProtection="1"/>
    <xf numFmtId="0" fontId="2" fillId="0" borderId="0" xfId="1" applyFill="1" applyAlignment="1" applyProtection="1">
      <alignment horizontal="left" indent="1"/>
    </xf>
    <xf numFmtId="0" fontId="0" fillId="0" borderId="7" xfId="0" applyBorder="1" applyAlignment="1">
      <alignment horizontal="center" vertical="center"/>
    </xf>
    <xf numFmtId="165" fontId="0" fillId="0" borderId="8" xfId="0" applyNumberFormat="1" applyBorder="1" applyAlignment="1">
      <alignment horizontal="centerContinuous" vertical="center"/>
    </xf>
    <xf numFmtId="165" fontId="0" fillId="0" borderId="9" xfId="0" applyNumberFormat="1" applyBorder="1" applyAlignment="1">
      <alignment horizontal="centerContinuous" vertical="center"/>
    </xf>
    <xf numFmtId="0" fontId="9" fillId="3" borderId="0" xfId="6" applyFill="1" applyAlignment="1">
      <alignment vertical="top"/>
    </xf>
    <xf numFmtId="0" fontId="9" fillId="3" borderId="0" xfId="6" applyFill="1" applyAlignment="1">
      <alignment wrapText="1"/>
    </xf>
    <xf numFmtId="0" fontId="9" fillId="0" borderId="0" xfId="6"/>
    <xf numFmtId="0" fontId="29" fillId="0" borderId="0" xfId="6" applyFont="1" applyAlignment="1">
      <alignment vertical="top"/>
    </xf>
    <xf numFmtId="0" fontId="30" fillId="0" borderId="0" xfId="6" applyFont="1" applyAlignment="1">
      <alignment vertical="top" wrapText="1"/>
    </xf>
    <xf numFmtId="0" fontId="31" fillId="0" borderId="0" xfId="6" applyFont="1"/>
    <xf numFmtId="0" fontId="31" fillId="0" borderId="0" xfId="7" applyFont="1" applyAlignment="1">
      <alignment vertical="top" wrapText="1"/>
    </xf>
    <xf numFmtId="0" fontId="31" fillId="0" borderId="0" xfId="6" applyFont="1" applyAlignment="1">
      <alignment vertical="center"/>
    </xf>
    <xf numFmtId="0" fontId="33" fillId="0" borderId="0" xfId="7" applyFont="1" applyAlignment="1">
      <alignment vertical="top" wrapText="1"/>
    </xf>
    <xf numFmtId="0" fontId="9" fillId="0" borderId="0" xfId="6" applyAlignment="1">
      <alignment vertical="top"/>
    </xf>
    <xf numFmtId="0" fontId="34" fillId="2" borderId="0" xfId="6" applyFont="1" applyFill="1" applyAlignment="1">
      <alignment vertical="top" wrapText="1"/>
    </xf>
    <xf numFmtId="0" fontId="5" fillId="0" borderId="0" xfId="6" applyFont="1" applyAlignment="1">
      <alignment vertical="top" wrapText="1"/>
    </xf>
    <xf numFmtId="0" fontId="35" fillId="0" borderId="0" xfId="6" applyFont="1" applyAlignment="1">
      <alignment vertical="top" wrapText="1"/>
    </xf>
    <xf numFmtId="0" fontId="9" fillId="2" borderId="0" xfId="6" applyFill="1" applyAlignment="1">
      <alignment vertical="top" wrapText="1"/>
    </xf>
    <xf numFmtId="0" fontId="9" fillId="0" borderId="0" xfId="6" applyAlignment="1">
      <alignment vertical="top" wrapText="1"/>
    </xf>
    <xf numFmtId="0" fontId="36" fillId="2" borderId="0" xfId="5" applyFont="1" applyFill="1" applyAlignment="1">
      <alignment wrapText="1"/>
    </xf>
    <xf numFmtId="0" fontId="9" fillId="2" borderId="0" xfId="6" applyFill="1" applyAlignment="1">
      <alignment wrapText="1"/>
    </xf>
    <xf numFmtId="0" fontId="9" fillId="0" borderId="0" xfId="6" applyAlignment="1">
      <alignment wrapText="1"/>
    </xf>
    <xf numFmtId="0" fontId="37" fillId="4" borderId="0" xfId="6" applyFont="1" applyFill="1" applyAlignment="1">
      <alignment horizontal="centerContinuous" vertical="center"/>
    </xf>
    <xf numFmtId="0" fontId="37" fillId="4" borderId="0" xfId="6" applyFont="1" applyFill="1" applyAlignment="1">
      <alignment horizontal="centerContinuous" wrapText="1"/>
    </xf>
    <xf numFmtId="0" fontId="38" fillId="0" borderId="0" xfId="6" applyFont="1" applyAlignment="1">
      <alignment vertical="top"/>
    </xf>
    <xf numFmtId="0" fontId="39" fillId="0" borderId="0" xfId="6" applyFont="1"/>
    <xf numFmtId="0" fontId="40" fillId="0" borderId="0" xfId="6" applyFont="1" applyAlignment="1">
      <alignment vertical="top" wrapText="1"/>
    </xf>
    <xf numFmtId="0" fontId="32" fillId="5" borderId="0" xfId="6" applyFont="1" applyFill="1" applyAlignment="1">
      <alignment vertical="center"/>
    </xf>
    <xf numFmtId="0" fontId="41" fillId="6" borderId="0" xfId="7" applyFont="1" applyFill="1" applyAlignment="1">
      <alignment horizontal="left" vertical="center" wrapText="1"/>
    </xf>
    <xf numFmtId="0" fontId="33" fillId="0" borderId="0" xfId="6" applyFont="1" applyAlignment="1">
      <alignment vertical="top"/>
    </xf>
    <xf numFmtId="0" fontId="30" fillId="0" borderId="0" xfId="7" applyFont="1" applyAlignment="1">
      <alignment vertical="top" wrapText="1"/>
    </xf>
    <xf numFmtId="0" fontId="9" fillId="6" borderId="6" xfId="7" applyFill="1" applyBorder="1" applyAlignment="1">
      <alignment vertical="top" wrapText="1"/>
    </xf>
    <xf numFmtId="0" fontId="9" fillId="6" borderId="6" xfId="6" applyFill="1" applyBorder="1" applyAlignment="1">
      <alignment vertical="top" wrapText="1"/>
    </xf>
    <xf numFmtId="0" fontId="33" fillId="0" borderId="0" xfId="6" applyFont="1"/>
    <xf numFmtId="0" fontId="39" fillId="0" borderId="0" xfId="6" applyFont="1" applyAlignment="1">
      <alignment horizontal="center" vertical="center" wrapText="1"/>
    </xf>
    <xf numFmtId="0" fontId="42" fillId="2" borderId="0" xfId="6" applyFont="1" applyFill="1" applyAlignment="1">
      <alignment vertical="top" wrapText="1"/>
    </xf>
    <xf numFmtId="0" fontId="9" fillId="2" borderId="0" xfId="3" applyFill="1" applyAlignment="1">
      <alignment vertical="top" wrapText="1"/>
    </xf>
    <xf numFmtId="0" fontId="9" fillId="2" borderId="0" xfId="3" applyFill="1" applyAlignment="1">
      <alignment wrapText="1"/>
    </xf>
    <xf numFmtId="39" fontId="5" fillId="0" borderId="0" xfId="0" applyNumberFormat="1" applyFont="1" applyAlignment="1">
      <alignment vertical="center"/>
    </xf>
    <xf numFmtId="0" fontId="0" fillId="0" borderId="10" xfId="0" applyBorder="1" applyAlignment="1">
      <alignment horizontal="left" vertical="center" indent="1"/>
    </xf>
    <xf numFmtId="39" fontId="0" fillId="0" borderId="10" xfId="8" applyNumberFormat="1" applyFont="1" applyBorder="1" applyAlignment="1">
      <alignment horizontal="right" vertical="center"/>
    </xf>
    <xf numFmtId="0" fontId="0" fillId="0" borderId="10" xfId="0" applyBorder="1" applyAlignment="1">
      <alignment horizontal="center" vertical="center"/>
    </xf>
    <xf numFmtId="9" fontId="4" fillId="0" borderId="10" xfId="2" applyFont="1" applyFill="1" applyBorder="1" applyAlignment="1">
      <alignment horizontal="center" vertical="center"/>
    </xf>
    <xf numFmtId="164" fontId="0" fillId="0" borderId="10" xfId="0" applyNumberFormat="1" applyBorder="1" applyAlignment="1">
      <alignment horizontal="center" vertical="center"/>
    </xf>
    <xf numFmtId="164" fontId="4" fillId="0" borderId="10" xfId="0" applyNumberFormat="1" applyFont="1" applyBorder="1" applyAlignment="1">
      <alignment horizontal="center" vertical="center"/>
    </xf>
    <xf numFmtId="0" fontId="4" fillId="0" borderId="10" xfId="0" applyFont="1" applyBorder="1" applyAlignment="1">
      <alignment horizontal="center" vertical="center"/>
    </xf>
    <xf numFmtId="0" fontId="0" fillId="0" borderId="12" xfId="0" applyBorder="1" applyAlignment="1">
      <alignment vertical="center"/>
    </xf>
    <xf numFmtId="0" fontId="0" fillId="0" borderId="10" xfId="0" applyBorder="1" applyAlignment="1">
      <alignment vertical="center"/>
    </xf>
    <xf numFmtId="0" fontId="7" fillId="2" borderId="10" xfId="0" applyFont="1" applyFill="1" applyBorder="1" applyAlignment="1">
      <alignment horizontal="left" vertical="center" indent="1"/>
    </xf>
    <xf numFmtId="39" fontId="7" fillId="2" borderId="10" xfId="8" applyNumberFormat="1" applyFont="1" applyFill="1" applyBorder="1" applyAlignment="1">
      <alignment horizontal="right" vertical="center"/>
    </xf>
    <xf numFmtId="0" fontId="7" fillId="2" borderId="10" xfId="0" applyFont="1" applyFill="1" applyBorder="1" applyAlignment="1">
      <alignment horizontal="center" vertical="center"/>
    </xf>
    <xf numFmtId="9" fontId="4" fillId="2" borderId="10" xfId="2" applyFont="1" applyFill="1" applyBorder="1" applyAlignment="1">
      <alignment horizontal="center" vertical="center"/>
    </xf>
    <xf numFmtId="164" fontId="3" fillId="2" borderId="10" xfId="0" applyNumberFormat="1" applyFont="1" applyFill="1" applyBorder="1" applyAlignment="1">
      <alignment horizontal="left" vertical="center"/>
    </xf>
    <xf numFmtId="164" fontId="4" fillId="2" borderId="10" xfId="0" applyNumberFormat="1" applyFont="1" applyFill="1" applyBorder="1" applyAlignment="1">
      <alignment horizontal="center" vertical="center"/>
    </xf>
    <xf numFmtId="0" fontId="4" fillId="2" borderId="10" xfId="0" applyFont="1" applyFill="1" applyBorder="1" applyAlignment="1">
      <alignment horizontal="center" vertical="center"/>
    </xf>
    <xf numFmtId="0" fontId="0" fillId="2" borderId="12" xfId="0" applyFill="1" applyBorder="1" applyAlignment="1">
      <alignment vertical="center"/>
    </xf>
    <xf numFmtId="0" fontId="27" fillId="0" borderId="0" xfId="1" applyFont="1" applyAlignment="1" applyProtection="1">
      <alignment horizontal="left" vertical="center"/>
    </xf>
    <xf numFmtId="0" fontId="5" fillId="0" borderId="0" xfId="0" applyFont="1" applyAlignment="1">
      <alignment horizontal="left" vertical="center"/>
    </xf>
    <xf numFmtId="0" fontId="0" fillId="7" borderId="12" xfId="0" applyFill="1" applyBorder="1" applyAlignment="1">
      <alignment vertical="center"/>
    </xf>
    <xf numFmtId="0" fontId="0" fillId="8" borderId="12" xfId="0" applyFill="1" applyBorder="1" applyAlignment="1">
      <alignment vertical="center"/>
    </xf>
    <xf numFmtId="0" fontId="6" fillId="9" borderId="1" xfId="0" applyFont="1" applyFill="1" applyBorder="1" applyAlignment="1">
      <alignment horizontal="left" vertical="center" indent="1"/>
    </xf>
    <xf numFmtId="0" fontId="6" fillId="9" borderId="1" xfId="0" applyFont="1" applyFill="1" applyBorder="1" applyAlignment="1">
      <alignment horizontal="center" vertical="center" wrapText="1"/>
    </xf>
    <xf numFmtId="0" fontId="14" fillId="9" borderId="11" xfId="0" applyFont="1" applyFill="1" applyBorder="1" applyAlignment="1">
      <alignment horizontal="center" vertical="center" shrinkToFit="1"/>
    </xf>
    <xf numFmtId="166" fontId="0" fillId="10" borderId="2" xfId="0" applyNumberFormat="1" applyFill="1" applyBorder="1" applyAlignment="1">
      <alignment horizontal="left" vertical="center" wrapText="1" indent="1"/>
    </xf>
    <xf numFmtId="166" fontId="0" fillId="10" borderId="1" xfId="0" applyNumberFormat="1" applyFill="1" applyBorder="1" applyAlignment="1">
      <alignment horizontal="left" vertical="center" wrapText="1" indent="1"/>
    </xf>
    <xf numFmtId="166" fontId="0" fillId="10" borderId="3" xfId="0" applyNumberFormat="1" applyFill="1" applyBorder="1" applyAlignment="1">
      <alignment horizontal="left" vertical="center" wrapText="1" indent="1"/>
    </xf>
    <xf numFmtId="167" fontId="11" fillId="10" borderId="4" xfId="0" applyNumberFormat="1" applyFont="1" applyFill="1" applyBorder="1" applyAlignment="1">
      <alignment horizontal="center" vertical="center"/>
    </xf>
    <xf numFmtId="167" fontId="11" fillId="10" borderId="0" xfId="0" applyNumberFormat="1" applyFont="1" applyFill="1" applyAlignment="1">
      <alignment horizontal="center" vertical="center"/>
    </xf>
    <xf numFmtId="167" fontId="11" fillId="10" borderId="5" xfId="0" applyNumberFormat="1" applyFont="1" applyFill="1" applyBorder="1" applyAlignment="1">
      <alignment horizontal="center" vertical="center"/>
    </xf>
    <xf numFmtId="0" fontId="43" fillId="0" borderId="0" xfId="0" applyFont="1" applyAlignment="1">
      <alignment horizontal="left"/>
    </xf>
    <xf numFmtId="0" fontId="44" fillId="0" borderId="0" xfId="0" applyFont="1" applyAlignment="1">
      <alignment horizontal="left"/>
    </xf>
    <xf numFmtId="0" fontId="45" fillId="0" borderId="0" xfId="0" applyFont="1"/>
    <xf numFmtId="14" fontId="4" fillId="0" borderId="10" xfId="2" applyNumberFormat="1" applyFont="1" applyFill="1" applyBorder="1" applyAlignment="1">
      <alignment horizontal="center" vertical="center"/>
    </xf>
    <xf numFmtId="0" fontId="47" fillId="7" borderId="12" xfId="0" applyFont="1" applyFill="1" applyBorder="1" applyAlignment="1">
      <alignment vertical="center"/>
    </xf>
    <xf numFmtId="0" fontId="5" fillId="11" borderId="10" xfId="0" applyFont="1" applyFill="1" applyBorder="1" applyAlignment="1">
      <alignment horizontal="left" vertical="center" indent="1"/>
    </xf>
    <xf numFmtId="0" fontId="48" fillId="12" borderId="10" xfId="0" applyFont="1" applyFill="1" applyBorder="1" applyAlignment="1">
      <alignment horizontal="left" vertical="center" indent="1"/>
    </xf>
    <xf numFmtId="0" fontId="49" fillId="0" borderId="10" xfId="0" applyFont="1" applyBorder="1" applyAlignment="1">
      <alignment horizontal="left" vertical="center" indent="1"/>
    </xf>
    <xf numFmtId="0" fontId="50" fillId="14" borderId="12" xfId="0" applyFont="1" applyFill="1" applyBorder="1" applyAlignment="1">
      <alignment vertical="center"/>
    </xf>
    <xf numFmtId="0" fontId="0" fillId="14" borderId="12" xfId="0" applyFill="1" applyBorder="1" applyAlignment="1">
      <alignment vertical="center"/>
    </xf>
    <xf numFmtId="0" fontId="46" fillId="15" borderId="12" xfId="0" applyFont="1" applyFill="1" applyBorder="1" applyAlignment="1">
      <alignment vertical="center"/>
    </xf>
    <xf numFmtId="0" fontId="46" fillId="16" borderId="12" xfId="0" applyFont="1" applyFill="1" applyBorder="1" applyAlignment="1">
      <alignment vertical="center"/>
    </xf>
    <xf numFmtId="0" fontId="5" fillId="17" borderId="10" xfId="0" applyFont="1" applyFill="1" applyBorder="1" applyAlignment="1">
      <alignment horizontal="left" vertical="center" indent="1"/>
    </xf>
    <xf numFmtId="0" fontId="48" fillId="0" borderId="10" xfId="0" applyFont="1" applyBorder="1" applyAlignment="1">
      <alignment horizontal="left" vertical="center" indent="1"/>
    </xf>
    <xf numFmtId="0" fontId="48" fillId="18" borderId="10" xfId="0" applyFont="1" applyFill="1" applyBorder="1" applyAlignment="1">
      <alignment horizontal="left" vertical="center" indent="1"/>
    </xf>
    <xf numFmtId="0" fontId="0" fillId="19" borderId="12" xfId="0" applyFill="1" applyBorder="1" applyAlignment="1">
      <alignment vertical="center"/>
    </xf>
    <xf numFmtId="0" fontId="0" fillId="13" borderId="12" xfId="0" applyFill="1" applyBorder="1" applyAlignment="1">
      <alignment vertical="center"/>
    </xf>
    <xf numFmtId="0" fontId="5" fillId="20" borderId="10" xfId="0" applyFont="1" applyFill="1" applyBorder="1" applyAlignment="1">
      <alignment horizontal="left" vertical="center" indent="1"/>
    </xf>
    <xf numFmtId="0" fontId="0" fillId="0" borderId="10" xfId="0" applyFont="1" applyBorder="1" applyAlignment="1">
      <alignment horizontal="center" vertical="center"/>
    </xf>
    <xf numFmtId="39" fontId="0" fillId="12" borderId="10" xfId="8" applyNumberFormat="1" applyFont="1" applyFill="1" applyBorder="1" applyAlignment="1">
      <alignment horizontal="right" vertical="center"/>
    </xf>
    <xf numFmtId="39" fontId="0" fillId="11" borderId="10" xfId="8" applyNumberFormat="1" applyFont="1" applyFill="1" applyBorder="1" applyAlignment="1">
      <alignment horizontal="right" vertical="center"/>
    </xf>
    <xf numFmtId="39" fontId="0" fillId="20" borderId="10" xfId="8" applyNumberFormat="1" applyFont="1" applyFill="1" applyBorder="1" applyAlignment="1">
      <alignment horizontal="right" vertical="center"/>
    </xf>
    <xf numFmtId="39" fontId="0" fillId="17" borderId="10" xfId="8" applyNumberFormat="1" applyFont="1" applyFill="1" applyBorder="1" applyAlignment="1">
      <alignment horizontal="right" vertical="center"/>
    </xf>
    <xf numFmtId="39" fontId="0" fillId="18" borderId="10" xfId="8" applyNumberFormat="1" applyFont="1" applyFill="1" applyBorder="1" applyAlignment="1">
      <alignment horizontal="right" vertical="center"/>
    </xf>
    <xf numFmtId="0" fontId="0" fillId="21" borderId="12" xfId="0" applyFill="1" applyBorder="1" applyAlignment="1">
      <alignment vertical="center"/>
    </xf>
    <xf numFmtId="0" fontId="0" fillId="22" borderId="12" xfId="0" applyFill="1" applyBorder="1" applyAlignment="1">
      <alignment vertical="center"/>
    </xf>
    <xf numFmtId="0" fontId="0" fillId="20" borderId="12" xfId="0" applyFill="1" applyBorder="1" applyAlignment="1">
      <alignment vertical="center"/>
    </xf>
    <xf numFmtId="0" fontId="0" fillId="22" borderId="10" xfId="0" applyFill="1" applyBorder="1" applyAlignment="1">
      <alignment vertical="center"/>
    </xf>
    <xf numFmtId="9" fontId="51" fillId="0" borderId="10" xfId="2" applyFont="1" applyFill="1" applyBorder="1" applyAlignment="1">
      <alignment horizontal="center" vertical="center"/>
    </xf>
    <xf numFmtId="0" fontId="0" fillId="13" borderId="10" xfId="0" applyFill="1" applyBorder="1" applyAlignment="1">
      <alignment vertical="center"/>
    </xf>
    <xf numFmtId="0" fontId="0" fillId="20" borderId="10" xfId="0" applyFill="1" applyBorder="1" applyAlignment="1">
      <alignment vertical="center"/>
    </xf>
    <xf numFmtId="0" fontId="0" fillId="14" borderId="10" xfId="0" applyFill="1" applyBorder="1" applyAlignment="1">
      <alignment vertical="center"/>
    </xf>
  </cellXfs>
  <cellStyles count="9">
    <cellStyle name="Comma" xfId="8" builtinId="3"/>
    <cellStyle name="Hyperlink" xfId="1" builtinId="8" customBuiltin="1"/>
    <cellStyle name="Normal" xfId="0" builtinId="0"/>
    <cellStyle name="Normal 2" xfId="5" xr:uid="{F6137E9C-9D90-4907-87D2-F66E1236C2C7}"/>
    <cellStyle name="Normal 3 2" xfId="4" xr:uid="{468F9836-FCE4-46C8-AE46-CFD105BDDA17}"/>
    <cellStyle name="Normal 3 2 2" xfId="7" xr:uid="{5EBE4E74-803E-4F0E-8237-236DFD24A74A}"/>
    <cellStyle name="Normal 4" xfId="3" xr:uid="{0A5A6055-C10D-4DEA-8FED-A569442A9B09}"/>
    <cellStyle name="Normal 4 2" xfId="6" xr:uid="{8193CEAB-09E8-470F-82FE-732684E7C073}"/>
    <cellStyle name="Percent" xfId="2" builtinId="5"/>
  </cellStyles>
  <dxfs count="2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23"/>
      <tableStyleElement type="headerRow" dxfId="22"/>
      <tableStyleElement type="totalRow" dxfId="21"/>
      <tableStyleElement type="firstColumn" dxfId="20"/>
      <tableStyleElement type="lastColumn" dxfId="19"/>
      <tableStyleElement type="firstRowStripe" dxfId="18"/>
      <tableStyleElement type="secondRowStripe" dxfId="17"/>
      <tableStyleElement type="firstColumnStripe" dxfId="16"/>
      <tableStyleElement type="secondColumnStripe" dxfId="1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E49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v42&amp;utm_medium=file&amp;utm_campaign=templates&amp;utm_term=simple-gantt-chart_ms&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95250</xdr:rowOff>
    </xdr:from>
    <xdr:to>
      <xdr:col>1</xdr:col>
      <xdr:colOff>1905000</xdr:colOff>
      <xdr:row>0</xdr:row>
      <xdr:rowOff>523875</xdr:rowOff>
    </xdr:to>
    <xdr:pic>
      <xdr:nvPicPr>
        <xdr:cNvPr id="2" name="Picture 1">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AI_Theme">
      <a:dk1>
        <a:sysClr val="windowText" lastClr="000000"/>
      </a:dk1>
      <a:lt1>
        <a:sysClr val="window" lastClr="FFFFFF"/>
      </a:lt1>
      <a:dk2>
        <a:srgbClr val="3A5D9C"/>
      </a:dk2>
      <a:lt2>
        <a:srgbClr val="EEEEEE"/>
      </a:lt2>
      <a:accent1>
        <a:srgbClr val="7451B3"/>
      </a:accent1>
      <a:accent2>
        <a:srgbClr val="439957"/>
      </a:accent2>
      <a:accent3>
        <a:srgbClr val="CB4D5C"/>
      </a:accent3>
      <a:accent4>
        <a:srgbClr val="2B76BB"/>
      </a:accent4>
      <a:accent5>
        <a:srgbClr val="C7823D"/>
      </a:accent5>
      <a:accent6>
        <a:srgbClr val="328C88"/>
      </a:accent6>
      <a:hlink>
        <a:srgbClr val="4C92AE"/>
      </a:hlink>
      <a:folHlink>
        <a:srgbClr val="969696"/>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v42&amp;utm_medium=file&amp;utm_campaign=templates&amp;utm_term=simple-gantt-chart_ms&amp;utm_content=title" TargetMode="External"/><Relationship Id="rId1" Type="http://schemas.openxmlformats.org/officeDocument/2006/relationships/hyperlink" Target="https://www.vertex42.com/ExcelTemplates/simple-gantt-chart.html?utm_source=v42&amp;utm_medium=file&amp;utm_campaign=templates&amp;utm_term=simple-gantt-chart_ms&amp;utm_content=url"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v42&amp;utm_medium=file&amp;utm_campaign=templates&amp;utm_term=simple-gantt-chart_ms&amp;utm_content=url" TargetMode="External"/><Relationship Id="rId2" Type="http://schemas.openxmlformats.org/officeDocument/2006/relationships/hyperlink" Target="https://www.vertex42.com/ExcelTemplates/simple-gantt-chart.html?utm_source=v42&amp;utm_medium=file&amp;utm_campaign=templates&amp;utm_term=simple-gantt-chart_ms&amp;utm_content=help" TargetMode="External"/><Relationship Id="rId1" Type="http://schemas.openxmlformats.org/officeDocument/2006/relationships/hyperlink" Target="https://www.vertex42.com/ExcelTemplates/excel-project-management.html?utm_source=v42&amp;utm_medium=file&amp;utm_campaign=templates&amp;utm_term=simple-gantt-chart_ms&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3.bin"/><Relationship Id="rId4" Type="http://schemas.openxmlformats.org/officeDocument/2006/relationships/hyperlink" Target="https://www.vertex42.com/ExcelTemplates/simple-gantt-chart.html?utm_source=v42&amp;utm_medium=file&amp;utm_campaign=templates&amp;utm_term=simple-gantt-chart_ms&amp;utm_content=titl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M85"/>
  <sheetViews>
    <sheetView showGridLines="0" tabSelected="1" showRuler="0" zoomScaleNormal="100" zoomScalePageLayoutView="70" workbookViewId="0">
      <pane ySplit="6" topLeftCell="A8" activePane="bottomLeft" state="frozen"/>
      <selection pane="bottomLeft" sqref="A1:XFD1"/>
    </sheetView>
  </sheetViews>
  <sheetFormatPr defaultColWidth="10.28515625" defaultRowHeight="15"/>
  <cols>
    <col min="1" max="1" width="2.7109375" customWidth="1"/>
    <col min="2" max="2" width="29.42578125" customWidth="1"/>
    <col min="3" max="3" width="10.7109375" customWidth="1"/>
    <col min="4" max="4" width="16.5703125" customWidth="1"/>
    <col min="5" max="5" width="25.7109375" customWidth="1"/>
    <col min="6" max="6" width="10.28515625" style="4" customWidth="1"/>
    <col min="7" max="7" width="6.42578125" customWidth="1"/>
    <col min="8" max="8" width="2.7109375" customWidth="1"/>
    <col min="9" max="9" width="6.140625" hidden="1" customWidth="1"/>
    <col min="10" max="65" width="2.5703125" customWidth="1"/>
  </cols>
  <sheetData>
    <row r="1" spans="1:65" ht="28.5">
      <c r="B1" s="95" t="s">
        <v>0</v>
      </c>
      <c r="C1" s="95"/>
      <c r="D1" s="96"/>
      <c r="E1" s="1"/>
      <c r="F1" s="3"/>
      <c r="G1" s="22"/>
      <c r="I1" s="1"/>
      <c r="J1" s="6"/>
      <c r="K1" s="82"/>
      <c r="L1" s="82"/>
      <c r="M1" s="82"/>
      <c r="N1" s="82"/>
      <c r="O1" s="82"/>
      <c r="P1" s="82"/>
      <c r="Q1" s="82"/>
      <c r="R1" s="82"/>
      <c r="S1" s="82"/>
      <c r="T1" s="82"/>
      <c r="U1" s="82"/>
      <c r="V1" s="82"/>
      <c r="W1" s="82"/>
      <c r="X1" s="82"/>
      <c r="Y1" s="82"/>
      <c r="Z1" s="82"/>
      <c r="AA1" s="82"/>
      <c r="AB1" s="82"/>
    </row>
    <row r="2" spans="1:65" ht="19.5" customHeight="1">
      <c r="B2" s="97" t="s">
        <v>1</v>
      </c>
      <c r="C2" s="7"/>
      <c r="E2" s="5" t="s">
        <v>2</v>
      </c>
      <c r="F2" s="28">
        <v>46038</v>
      </c>
      <c r="G2" s="29"/>
    </row>
    <row r="3" spans="1:65" ht="19.5" customHeight="1">
      <c r="B3" s="7" t="s">
        <v>3</v>
      </c>
      <c r="C3" s="7"/>
      <c r="E3" s="5" t="s">
        <v>4</v>
      </c>
      <c r="F3" s="28">
        <f ca="1">TODAY()</f>
        <v>46071</v>
      </c>
      <c r="G3" s="29"/>
    </row>
    <row r="4" spans="1:65" ht="19.5" customHeight="1">
      <c r="B4" s="83"/>
      <c r="C4" s="64"/>
      <c r="D4" s="2"/>
      <c r="E4" s="5" t="s">
        <v>5</v>
      </c>
      <c r="F4" s="27">
        <v>1</v>
      </c>
      <c r="J4" s="89">
        <f>J5</f>
        <v>46034</v>
      </c>
      <c r="K4" s="90"/>
      <c r="L4" s="90"/>
      <c r="M4" s="90"/>
      <c r="N4" s="90"/>
      <c r="O4" s="90"/>
      <c r="P4" s="91"/>
      <c r="Q4" s="89">
        <f>Q5</f>
        <v>46041</v>
      </c>
      <c r="R4" s="90"/>
      <c r="S4" s="90"/>
      <c r="T4" s="90"/>
      <c r="U4" s="90"/>
      <c r="V4" s="90"/>
      <c r="W4" s="91"/>
      <c r="X4" s="89">
        <f>X5</f>
        <v>46048</v>
      </c>
      <c r="Y4" s="90"/>
      <c r="Z4" s="90"/>
      <c r="AA4" s="90"/>
      <c r="AB4" s="90"/>
      <c r="AC4" s="90"/>
      <c r="AD4" s="91"/>
      <c r="AE4" s="89">
        <f>AE5</f>
        <v>46055</v>
      </c>
      <c r="AF4" s="90"/>
      <c r="AG4" s="90"/>
      <c r="AH4" s="90"/>
      <c r="AI4" s="90"/>
      <c r="AJ4" s="90"/>
      <c r="AK4" s="91"/>
      <c r="AL4" s="89">
        <f>AL5</f>
        <v>46062</v>
      </c>
      <c r="AM4" s="90"/>
      <c r="AN4" s="90"/>
      <c r="AO4" s="90"/>
      <c r="AP4" s="90"/>
      <c r="AQ4" s="90"/>
      <c r="AR4" s="91"/>
      <c r="AS4" s="89">
        <f>AS5</f>
        <v>46069</v>
      </c>
      <c r="AT4" s="90"/>
      <c r="AU4" s="90"/>
      <c r="AV4" s="90"/>
      <c r="AW4" s="90"/>
      <c r="AX4" s="90"/>
      <c r="AY4" s="91"/>
      <c r="AZ4" s="89">
        <f>AZ5</f>
        <v>46076</v>
      </c>
      <c r="BA4" s="90"/>
      <c r="BB4" s="90"/>
      <c r="BC4" s="90"/>
      <c r="BD4" s="90"/>
      <c r="BE4" s="90"/>
      <c r="BF4" s="91"/>
      <c r="BG4" s="89">
        <f>BG5</f>
        <v>46083</v>
      </c>
      <c r="BH4" s="90"/>
      <c r="BI4" s="90"/>
      <c r="BJ4" s="90"/>
      <c r="BK4" s="90"/>
      <c r="BL4" s="90"/>
      <c r="BM4" s="91"/>
    </row>
    <row r="5" spans="1:65">
      <c r="A5" s="5"/>
      <c r="H5" s="5"/>
      <c r="J5" s="92">
        <f>F2-WEEKDAY(F2,1)+2+7*(F4-1)</f>
        <v>46034</v>
      </c>
      <c r="K5" s="93">
        <f>J5+1</f>
        <v>46035</v>
      </c>
      <c r="L5" s="93">
        <f t="shared" ref="L5:AY5" si="0">K5+1</f>
        <v>46036</v>
      </c>
      <c r="M5" s="93">
        <f t="shared" si="0"/>
        <v>46037</v>
      </c>
      <c r="N5" s="93">
        <f t="shared" si="0"/>
        <v>46038</v>
      </c>
      <c r="O5" s="93">
        <f t="shared" si="0"/>
        <v>46039</v>
      </c>
      <c r="P5" s="94">
        <f t="shared" si="0"/>
        <v>46040</v>
      </c>
      <c r="Q5" s="92">
        <f>P5+1</f>
        <v>46041</v>
      </c>
      <c r="R5" s="93">
        <f>Q5+1</f>
        <v>46042</v>
      </c>
      <c r="S5" s="93">
        <f t="shared" si="0"/>
        <v>46043</v>
      </c>
      <c r="T5" s="93">
        <f t="shared" si="0"/>
        <v>46044</v>
      </c>
      <c r="U5" s="93">
        <f t="shared" si="0"/>
        <v>46045</v>
      </c>
      <c r="V5" s="93">
        <f t="shared" si="0"/>
        <v>46046</v>
      </c>
      <c r="W5" s="94">
        <f t="shared" si="0"/>
        <v>46047</v>
      </c>
      <c r="X5" s="92">
        <f>W5+1</f>
        <v>46048</v>
      </c>
      <c r="Y5" s="93">
        <f>X5+1</f>
        <v>46049</v>
      </c>
      <c r="Z5" s="93">
        <f t="shared" si="0"/>
        <v>46050</v>
      </c>
      <c r="AA5" s="93">
        <f t="shared" si="0"/>
        <v>46051</v>
      </c>
      <c r="AB5" s="93">
        <f t="shared" si="0"/>
        <v>46052</v>
      </c>
      <c r="AC5" s="93">
        <f t="shared" si="0"/>
        <v>46053</v>
      </c>
      <c r="AD5" s="94">
        <f t="shared" si="0"/>
        <v>46054</v>
      </c>
      <c r="AE5" s="92">
        <f>AD5+1</f>
        <v>46055</v>
      </c>
      <c r="AF5" s="93">
        <f>AE5+1</f>
        <v>46056</v>
      </c>
      <c r="AG5" s="93">
        <f t="shared" si="0"/>
        <v>46057</v>
      </c>
      <c r="AH5" s="93">
        <f t="shared" si="0"/>
        <v>46058</v>
      </c>
      <c r="AI5" s="93">
        <f t="shared" si="0"/>
        <v>46059</v>
      </c>
      <c r="AJ5" s="93">
        <f t="shared" si="0"/>
        <v>46060</v>
      </c>
      <c r="AK5" s="94">
        <f t="shared" si="0"/>
        <v>46061</v>
      </c>
      <c r="AL5" s="92">
        <f>AK5+1</f>
        <v>46062</v>
      </c>
      <c r="AM5" s="93">
        <f>AL5+1</f>
        <v>46063</v>
      </c>
      <c r="AN5" s="93">
        <f t="shared" si="0"/>
        <v>46064</v>
      </c>
      <c r="AO5" s="93">
        <f t="shared" si="0"/>
        <v>46065</v>
      </c>
      <c r="AP5" s="93">
        <f t="shared" si="0"/>
        <v>46066</v>
      </c>
      <c r="AQ5" s="93">
        <f t="shared" si="0"/>
        <v>46067</v>
      </c>
      <c r="AR5" s="94">
        <f t="shared" si="0"/>
        <v>46068</v>
      </c>
      <c r="AS5" s="92">
        <f>AR5+1</f>
        <v>46069</v>
      </c>
      <c r="AT5" s="93">
        <f>AS5+1</f>
        <v>46070</v>
      </c>
      <c r="AU5" s="93">
        <f t="shared" si="0"/>
        <v>46071</v>
      </c>
      <c r="AV5" s="93">
        <f t="shared" si="0"/>
        <v>46072</v>
      </c>
      <c r="AW5" s="93">
        <f t="shared" si="0"/>
        <v>46073</v>
      </c>
      <c r="AX5" s="93">
        <f t="shared" si="0"/>
        <v>46074</v>
      </c>
      <c r="AY5" s="94">
        <f t="shared" si="0"/>
        <v>46075</v>
      </c>
      <c r="AZ5" s="92">
        <f>AY5+1</f>
        <v>46076</v>
      </c>
      <c r="BA5" s="93">
        <f>AZ5+1</f>
        <v>46077</v>
      </c>
      <c r="BB5" s="93">
        <f t="shared" ref="BB5:BF5" si="1">BA5+1</f>
        <v>46078</v>
      </c>
      <c r="BC5" s="93">
        <f t="shared" si="1"/>
        <v>46079</v>
      </c>
      <c r="BD5" s="93">
        <f t="shared" si="1"/>
        <v>46080</v>
      </c>
      <c r="BE5" s="93">
        <f t="shared" si="1"/>
        <v>46081</v>
      </c>
      <c r="BF5" s="94">
        <f t="shared" si="1"/>
        <v>46082</v>
      </c>
      <c r="BG5" s="92">
        <f>BF5+1</f>
        <v>46083</v>
      </c>
      <c r="BH5" s="93">
        <f>BG5+1</f>
        <v>46084</v>
      </c>
      <c r="BI5" s="93">
        <f t="shared" ref="BI5:BM5" si="2">BH5+1</f>
        <v>46085</v>
      </c>
      <c r="BJ5" s="93">
        <f t="shared" si="2"/>
        <v>46086</v>
      </c>
      <c r="BK5" s="93">
        <f t="shared" si="2"/>
        <v>46087</v>
      </c>
      <c r="BL5" s="93">
        <f t="shared" si="2"/>
        <v>46088</v>
      </c>
      <c r="BM5" s="94">
        <f t="shared" si="2"/>
        <v>46089</v>
      </c>
    </row>
    <row r="6" spans="1:65" ht="29.25" customHeight="1">
      <c r="A6" s="10"/>
      <c r="B6" s="86" t="s">
        <v>6</v>
      </c>
      <c r="C6" s="87"/>
      <c r="D6" s="87" t="s">
        <v>7</v>
      </c>
      <c r="E6" s="87" t="s">
        <v>8</v>
      </c>
      <c r="F6" s="87"/>
      <c r="G6" s="87"/>
      <c r="H6" s="87"/>
      <c r="I6" s="87" t="s">
        <v>9</v>
      </c>
      <c r="J6" s="88" t="str">
        <f t="shared" ref="J6" si="3">LEFT(TEXT(J5,"ddd"),1)</f>
        <v>M</v>
      </c>
      <c r="K6" s="88" t="str">
        <f t="shared" ref="K6:AS6" si="4">LEFT(TEXT(K5,"ddd"),1)</f>
        <v>T</v>
      </c>
      <c r="L6" s="88" t="str">
        <f t="shared" si="4"/>
        <v>W</v>
      </c>
      <c r="M6" s="88" t="str">
        <f t="shared" si="4"/>
        <v>T</v>
      </c>
      <c r="N6" s="88" t="str">
        <f t="shared" si="4"/>
        <v>F</v>
      </c>
      <c r="O6" s="88" t="str">
        <f t="shared" si="4"/>
        <v>S</v>
      </c>
      <c r="P6" s="88" t="str">
        <f t="shared" si="4"/>
        <v>S</v>
      </c>
      <c r="Q6" s="88" t="str">
        <f t="shared" si="4"/>
        <v>M</v>
      </c>
      <c r="R6" s="88" t="str">
        <f t="shared" si="4"/>
        <v>T</v>
      </c>
      <c r="S6" s="88" t="str">
        <f t="shared" si="4"/>
        <v>W</v>
      </c>
      <c r="T6" s="88" t="str">
        <f t="shared" si="4"/>
        <v>T</v>
      </c>
      <c r="U6" s="88" t="str">
        <f t="shared" si="4"/>
        <v>F</v>
      </c>
      <c r="V6" s="88" t="str">
        <f t="shared" si="4"/>
        <v>S</v>
      </c>
      <c r="W6" s="88" t="str">
        <f t="shared" si="4"/>
        <v>S</v>
      </c>
      <c r="X6" s="88" t="str">
        <f t="shared" si="4"/>
        <v>M</v>
      </c>
      <c r="Y6" s="88" t="str">
        <f t="shared" si="4"/>
        <v>T</v>
      </c>
      <c r="Z6" s="88" t="str">
        <f t="shared" si="4"/>
        <v>W</v>
      </c>
      <c r="AA6" s="88" t="str">
        <f t="shared" si="4"/>
        <v>T</v>
      </c>
      <c r="AB6" s="88" t="str">
        <f t="shared" si="4"/>
        <v>F</v>
      </c>
      <c r="AC6" s="88" t="str">
        <f t="shared" si="4"/>
        <v>S</v>
      </c>
      <c r="AD6" s="88" t="str">
        <f t="shared" si="4"/>
        <v>S</v>
      </c>
      <c r="AE6" s="88" t="str">
        <f t="shared" si="4"/>
        <v>M</v>
      </c>
      <c r="AF6" s="88" t="str">
        <f t="shared" si="4"/>
        <v>T</v>
      </c>
      <c r="AG6" s="88" t="str">
        <f t="shared" si="4"/>
        <v>W</v>
      </c>
      <c r="AH6" s="88" t="str">
        <f t="shared" si="4"/>
        <v>T</v>
      </c>
      <c r="AI6" s="88" t="str">
        <f t="shared" si="4"/>
        <v>F</v>
      </c>
      <c r="AJ6" s="88" t="str">
        <f t="shared" si="4"/>
        <v>S</v>
      </c>
      <c r="AK6" s="88" t="str">
        <f t="shared" si="4"/>
        <v>S</v>
      </c>
      <c r="AL6" s="88" t="str">
        <f t="shared" si="4"/>
        <v>M</v>
      </c>
      <c r="AM6" s="88" t="str">
        <f t="shared" si="4"/>
        <v>T</v>
      </c>
      <c r="AN6" s="88" t="str">
        <f t="shared" si="4"/>
        <v>W</v>
      </c>
      <c r="AO6" s="88" t="str">
        <f t="shared" si="4"/>
        <v>T</v>
      </c>
      <c r="AP6" s="88" t="str">
        <f t="shared" si="4"/>
        <v>F</v>
      </c>
      <c r="AQ6" s="88" t="str">
        <f t="shared" si="4"/>
        <v>S</v>
      </c>
      <c r="AR6" s="88" t="str">
        <f t="shared" si="4"/>
        <v>S</v>
      </c>
      <c r="AS6" s="88" t="str">
        <f t="shared" si="4"/>
        <v>M</v>
      </c>
      <c r="AT6" s="88" t="str">
        <f t="shared" ref="AT6:BM6" si="5">LEFT(TEXT(AT5,"ddd"),1)</f>
        <v>T</v>
      </c>
      <c r="AU6" s="88" t="str">
        <f t="shared" si="5"/>
        <v>W</v>
      </c>
      <c r="AV6" s="88" t="str">
        <f t="shared" si="5"/>
        <v>T</v>
      </c>
      <c r="AW6" s="88" t="str">
        <f t="shared" si="5"/>
        <v>F</v>
      </c>
      <c r="AX6" s="88" t="str">
        <f t="shared" si="5"/>
        <v>S</v>
      </c>
      <c r="AY6" s="88" t="str">
        <f t="shared" si="5"/>
        <v>S</v>
      </c>
      <c r="AZ6" s="88" t="str">
        <f t="shared" si="5"/>
        <v>M</v>
      </c>
      <c r="BA6" s="88" t="str">
        <f t="shared" si="5"/>
        <v>T</v>
      </c>
      <c r="BB6" s="88" t="str">
        <f t="shared" si="5"/>
        <v>W</v>
      </c>
      <c r="BC6" s="88" t="str">
        <f t="shared" si="5"/>
        <v>T</v>
      </c>
      <c r="BD6" s="88" t="str">
        <f t="shared" si="5"/>
        <v>F</v>
      </c>
      <c r="BE6" s="88" t="str">
        <f t="shared" si="5"/>
        <v>S</v>
      </c>
      <c r="BF6" s="88" t="str">
        <f t="shared" si="5"/>
        <v>S</v>
      </c>
      <c r="BG6" s="88" t="str">
        <f t="shared" si="5"/>
        <v>M</v>
      </c>
      <c r="BH6" s="88" t="str">
        <f t="shared" si="5"/>
        <v>T</v>
      </c>
      <c r="BI6" s="88" t="str">
        <f t="shared" si="5"/>
        <v>W</v>
      </c>
      <c r="BJ6" s="88" t="str">
        <f t="shared" si="5"/>
        <v>T</v>
      </c>
      <c r="BK6" s="88" t="str">
        <f t="shared" si="5"/>
        <v>F</v>
      </c>
      <c r="BL6" s="88" t="str">
        <f t="shared" si="5"/>
        <v>S</v>
      </c>
      <c r="BM6" s="88" t="str">
        <f t="shared" si="5"/>
        <v>S</v>
      </c>
    </row>
    <row r="7" spans="1:65" s="73" customFormat="1" ht="21">
      <c r="A7" s="10"/>
      <c r="B7" s="101" t="s">
        <v>10</v>
      </c>
      <c r="C7" s="114"/>
      <c r="D7" s="113" t="s">
        <v>11</v>
      </c>
      <c r="E7" s="68" t="s">
        <v>12</v>
      </c>
      <c r="F7" s="69"/>
      <c r="G7" s="70"/>
      <c r="H7" s="71"/>
      <c r="I7" s="71" t="str">
        <f t="shared" ref="I7:I81" ca="1" si="6">IF(OR(ISBLANK(task_start),ISBLANK(task_end)),"",task_end-task_start+1)</f>
        <v/>
      </c>
      <c r="J7" s="72"/>
      <c r="K7" s="72"/>
      <c r="L7" s="72"/>
      <c r="M7" s="72"/>
      <c r="N7" s="105"/>
      <c r="O7" s="106"/>
      <c r="P7" s="106"/>
      <c r="Q7" s="105"/>
      <c r="R7" s="105"/>
      <c r="S7" s="72"/>
      <c r="T7" s="72"/>
      <c r="U7" s="72"/>
      <c r="V7" s="72"/>
      <c r="W7" s="72"/>
      <c r="X7" s="72"/>
      <c r="Y7" s="72"/>
      <c r="Z7" s="72"/>
      <c r="AA7" s="72"/>
      <c r="AB7" s="72"/>
      <c r="AC7" s="72"/>
      <c r="AD7" s="72"/>
      <c r="AE7" s="72"/>
      <c r="AF7" s="72"/>
      <c r="AG7" s="72"/>
      <c r="AH7" s="72"/>
      <c r="AI7" s="72"/>
      <c r="AJ7" s="72"/>
      <c r="AK7" s="72"/>
      <c r="AL7" s="72"/>
      <c r="AM7" s="72"/>
      <c r="AN7" s="72"/>
      <c r="AO7" s="72"/>
      <c r="AP7" s="72"/>
      <c r="AQ7" s="72"/>
      <c r="AR7" s="72"/>
      <c r="AS7" s="72"/>
      <c r="AT7" s="72"/>
      <c r="AU7" s="72"/>
      <c r="AV7" s="72"/>
      <c r="AW7" s="72"/>
      <c r="AX7" s="72"/>
      <c r="AY7" s="72"/>
      <c r="AZ7" s="72"/>
      <c r="BA7" s="72"/>
      <c r="BB7" s="72"/>
      <c r="BC7" s="72"/>
      <c r="BD7" s="72"/>
      <c r="BE7" s="72"/>
      <c r="BF7" s="72"/>
      <c r="BG7" s="72"/>
      <c r="BH7" s="72"/>
      <c r="BI7" s="72"/>
      <c r="BJ7" s="72"/>
      <c r="BK7" s="72"/>
      <c r="BL7" s="72"/>
      <c r="BM7" s="72"/>
    </row>
    <row r="8" spans="1:65" s="73" customFormat="1" ht="21">
      <c r="A8" s="10"/>
      <c r="B8" s="100" t="s">
        <v>13</v>
      </c>
      <c r="C8" s="115"/>
      <c r="D8" s="67" t="s">
        <v>14</v>
      </c>
      <c r="E8" s="98" t="s">
        <v>15</v>
      </c>
      <c r="F8" s="69"/>
      <c r="G8" s="70"/>
      <c r="H8" s="71"/>
      <c r="I8" s="71" t="str">
        <f t="shared" ca="1" si="6"/>
        <v/>
      </c>
      <c r="J8" s="72"/>
      <c r="K8" s="72"/>
      <c r="L8" s="72"/>
      <c r="M8" s="72"/>
      <c r="N8" s="72"/>
      <c r="O8" s="72"/>
      <c r="P8" s="72"/>
      <c r="Q8" s="72"/>
      <c r="R8" s="72"/>
      <c r="S8" s="99"/>
      <c r="T8" s="72"/>
      <c r="U8" s="85"/>
      <c r="V8" s="85"/>
      <c r="W8" s="85"/>
      <c r="X8" s="85"/>
      <c r="Y8" s="85"/>
      <c r="Z8" s="85"/>
      <c r="AA8" s="85"/>
      <c r="AB8" s="85"/>
      <c r="AC8" s="72"/>
      <c r="AD8" s="72"/>
      <c r="AE8" s="72"/>
      <c r="AF8" s="72"/>
      <c r="AG8" s="72"/>
      <c r="AH8" s="72"/>
      <c r="AI8" s="72"/>
      <c r="AJ8" s="72"/>
      <c r="AK8" s="72"/>
      <c r="AL8" s="72"/>
      <c r="AM8" s="72"/>
      <c r="AN8" s="72"/>
      <c r="AO8" s="72"/>
      <c r="AP8" s="72"/>
      <c r="AQ8" s="72"/>
      <c r="AR8" s="72"/>
      <c r="AS8" s="72"/>
      <c r="AT8" s="72"/>
      <c r="AU8" s="72"/>
      <c r="AV8" s="72"/>
      <c r="AW8" s="72"/>
      <c r="AX8" s="72"/>
      <c r="AY8" s="72"/>
      <c r="AZ8" s="72"/>
      <c r="BA8" s="72"/>
      <c r="BB8" s="72"/>
      <c r="BC8" s="72"/>
      <c r="BD8" s="72"/>
      <c r="BE8" s="72"/>
      <c r="BF8" s="72"/>
      <c r="BG8" s="72"/>
      <c r="BH8" s="72"/>
      <c r="BI8" s="72"/>
      <c r="BJ8" s="72"/>
      <c r="BK8" s="72"/>
      <c r="BL8" s="72"/>
      <c r="BM8" s="72"/>
    </row>
    <row r="9" spans="1:65" s="73" customFormat="1" ht="21">
      <c r="A9" s="10"/>
      <c r="B9" s="65" t="s">
        <v>16</v>
      </c>
      <c r="C9" s="66"/>
      <c r="D9" s="67" t="s">
        <v>17</v>
      </c>
      <c r="E9" s="68" t="s">
        <v>18</v>
      </c>
      <c r="F9" s="69"/>
      <c r="G9" s="70"/>
      <c r="H9" s="71"/>
      <c r="I9" s="71" t="str">
        <f t="shared" ca="1" si="6"/>
        <v/>
      </c>
      <c r="J9" s="72"/>
      <c r="K9" s="72"/>
      <c r="L9" s="72"/>
      <c r="M9" s="72"/>
      <c r="N9" s="72"/>
      <c r="O9" s="72"/>
      <c r="P9" s="72"/>
      <c r="Q9" s="72"/>
      <c r="R9" s="72"/>
      <c r="S9" s="72"/>
      <c r="T9" s="84"/>
      <c r="U9" s="84"/>
      <c r="V9" s="85"/>
      <c r="W9" s="85"/>
      <c r="X9" s="85"/>
      <c r="Y9" s="85"/>
      <c r="Z9" s="85"/>
      <c r="AA9" s="85"/>
      <c r="AB9" s="85"/>
      <c r="AC9" s="72"/>
      <c r="AD9" s="72"/>
      <c r="AE9" s="72"/>
      <c r="AF9" s="72"/>
      <c r="AG9" s="72"/>
      <c r="AH9" s="72"/>
      <c r="AI9" s="72"/>
      <c r="AJ9" s="72"/>
      <c r="AK9" s="72"/>
      <c r="AL9" s="72"/>
      <c r="AM9" s="72"/>
      <c r="AN9" s="72"/>
      <c r="AO9" s="72"/>
      <c r="AP9" s="72"/>
      <c r="AQ9" s="72"/>
      <c r="AR9" s="72"/>
      <c r="AS9" s="72"/>
      <c r="AT9" s="72"/>
      <c r="AU9" s="72"/>
      <c r="AV9" s="72"/>
      <c r="AW9" s="72"/>
      <c r="AX9" s="72"/>
      <c r="AY9" s="72"/>
      <c r="AZ9" s="72"/>
      <c r="BA9" s="72"/>
      <c r="BB9" s="72"/>
      <c r="BC9" s="72"/>
      <c r="BD9" s="72"/>
      <c r="BE9" s="72"/>
      <c r="BF9" s="72"/>
      <c r="BG9" s="72"/>
      <c r="BH9" s="72"/>
      <c r="BI9" s="72"/>
      <c r="BJ9" s="72"/>
      <c r="BK9" s="72"/>
      <c r="BL9" s="72"/>
      <c r="BM9" s="72"/>
    </row>
    <row r="10" spans="1:65" s="73" customFormat="1" ht="21">
      <c r="A10" s="10"/>
      <c r="B10" s="65" t="s">
        <v>19</v>
      </c>
      <c r="C10" s="66"/>
      <c r="D10" s="67" t="s">
        <v>17</v>
      </c>
      <c r="E10" s="68" t="s">
        <v>20</v>
      </c>
      <c r="F10" s="69"/>
      <c r="G10" s="70"/>
      <c r="H10" s="71"/>
      <c r="I10" s="71" t="str">
        <f t="shared" ca="1" si="6"/>
        <v/>
      </c>
      <c r="J10" s="72"/>
      <c r="K10" s="72"/>
      <c r="L10" s="72"/>
      <c r="M10" s="72"/>
      <c r="N10" s="72"/>
      <c r="O10" s="72"/>
      <c r="P10" s="72"/>
      <c r="Q10" s="72"/>
      <c r="R10" s="72"/>
      <c r="S10" s="72"/>
      <c r="T10" s="104"/>
      <c r="U10" s="104"/>
      <c r="V10" s="104"/>
      <c r="W10" s="104"/>
      <c r="X10" s="104"/>
      <c r="Y10" s="84"/>
      <c r="Z10" s="84"/>
      <c r="AA10" s="84"/>
      <c r="AB10" s="84"/>
      <c r="AC10" s="72"/>
      <c r="AD10" s="72"/>
      <c r="AE10" s="72"/>
      <c r="AF10" s="72"/>
      <c r="AG10" s="72"/>
      <c r="AH10" s="72"/>
      <c r="AI10" s="72"/>
      <c r="AJ10" s="72"/>
      <c r="AK10" s="72"/>
      <c r="AL10" s="72"/>
      <c r="AM10" s="72"/>
      <c r="AN10" s="72"/>
      <c r="AO10" s="72"/>
      <c r="AP10" s="72"/>
      <c r="AQ10" s="72"/>
      <c r="AR10" s="72"/>
      <c r="AS10" s="72"/>
      <c r="AT10" s="72"/>
      <c r="AU10" s="72"/>
      <c r="AV10" s="72"/>
      <c r="AW10" s="72"/>
      <c r="AX10" s="72"/>
      <c r="AY10" s="72"/>
      <c r="AZ10" s="72"/>
      <c r="BA10" s="72"/>
      <c r="BB10" s="72"/>
      <c r="BC10" s="72"/>
      <c r="BD10" s="72"/>
      <c r="BE10" s="72"/>
      <c r="BF10" s="72"/>
      <c r="BG10" s="72"/>
      <c r="BH10" s="72"/>
      <c r="BI10" s="72"/>
      <c r="BJ10" s="72"/>
      <c r="BK10" s="72"/>
      <c r="BL10" s="72"/>
      <c r="BM10" s="72"/>
    </row>
    <row r="11" spans="1:65" s="73" customFormat="1" ht="21">
      <c r="A11" s="10"/>
      <c r="B11" s="65" t="s">
        <v>21</v>
      </c>
      <c r="C11" s="66"/>
      <c r="D11" s="67" t="s">
        <v>17</v>
      </c>
      <c r="E11" s="68" t="s">
        <v>20</v>
      </c>
      <c r="F11" s="69"/>
      <c r="G11" s="70"/>
      <c r="H11" s="71"/>
      <c r="I11" s="71" t="str">
        <f t="shared" ca="1" si="6"/>
        <v/>
      </c>
      <c r="J11" s="72"/>
      <c r="K11" s="72"/>
      <c r="L11" s="72"/>
      <c r="M11" s="72"/>
      <c r="N11" s="72"/>
      <c r="O11" s="72"/>
      <c r="P11" s="72"/>
      <c r="Q11" s="72"/>
      <c r="R11" s="72"/>
      <c r="S11" s="72"/>
      <c r="T11" s="104"/>
      <c r="U11" s="104"/>
      <c r="V11" s="104"/>
      <c r="W11" s="104"/>
      <c r="X11" s="104"/>
      <c r="Y11" s="84"/>
      <c r="Z11" s="84"/>
      <c r="AA11" s="84"/>
      <c r="AB11" s="84"/>
      <c r="AC11" s="72"/>
      <c r="AD11" s="72"/>
      <c r="AE11" s="72"/>
      <c r="AF11" s="72"/>
      <c r="AG11" s="72"/>
      <c r="AH11" s="72"/>
      <c r="AI11" s="72"/>
      <c r="AJ11" s="72"/>
      <c r="AK11" s="72"/>
      <c r="AL11" s="72"/>
      <c r="AM11" s="72"/>
      <c r="AN11" s="72"/>
      <c r="AO11" s="72"/>
      <c r="AP11" s="72"/>
      <c r="AQ11" s="72"/>
      <c r="AR11" s="72"/>
      <c r="AS11" s="72"/>
      <c r="AT11" s="72"/>
      <c r="AU11" s="72"/>
      <c r="AV11" s="72"/>
      <c r="AW11" s="72"/>
      <c r="AX11" s="72"/>
      <c r="AY11" s="72"/>
      <c r="AZ11" s="72"/>
      <c r="BA11" s="72"/>
      <c r="BB11" s="72"/>
      <c r="BC11" s="72"/>
      <c r="BD11" s="72"/>
      <c r="BE11" s="72"/>
      <c r="BF11" s="72"/>
      <c r="BG11" s="72"/>
      <c r="BH11" s="72"/>
      <c r="BI11" s="72"/>
      <c r="BJ11" s="72"/>
      <c r="BK11" s="72"/>
      <c r="BL11" s="72"/>
      <c r="BM11" s="72"/>
    </row>
    <row r="12" spans="1:65" s="73" customFormat="1" ht="21">
      <c r="A12" s="10"/>
      <c r="B12" s="65" t="s">
        <v>22</v>
      </c>
      <c r="C12" s="66"/>
      <c r="D12" s="67" t="s">
        <v>14</v>
      </c>
      <c r="E12" s="68" t="s">
        <v>23</v>
      </c>
      <c r="F12" s="69"/>
      <c r="G12" s="70"/>
      <c r="H12" s="71"/>
      <c r="I12" s="71" t="str">
        <f t="shared" ca="1" si="6"/>
        <v/>
      </c>
      <c r="J12" s="72"/>
      <c r="K12" s="72"/>
      <c r="L12" s="72"/>
      <c r="M12" s="72"/>
      <c r="N12" s="72"/>
      <c r="O12" s="72"/>
      <c r="P12" s="72"/>
      <c r="Q12" s="72"/>
      <c r="R12" s="85"/>
      <c r="S12" s="72"/>
      <c r="T12" s="72"/>
      <c r="U12" s="72"/>
      <c r="V12" s="72"/>
      <c r="W12" s="72"/>
      <c r="X12" s="72"/>
      <c r="Y12" s="104"/>
      <c r="Z12" s="104"/>
      <c r="AA12" s="126"/>
      <c r="AB12" s="84"/>
      <c r="AC12" s="103"/>
      <c r="AD12" s="103"/>
      <c r="AE12" s="84"/>
      <c r="AF12" s="84"/>
      <c r="AG12" s="84"/>
      <c r="AH12" s="84"/>
      <c r="AI12" s="84"/>
      <c r="AJ12" s="85"/>
      <c r="AK12" s="85"/>
      <c r="AL12" s="85"/>
      <c r="AM12" s="85"/>
      <c r="AN12" s="72"/>
      <c r="AO12" s="72"/>
      <c r="AP12" s="72"/>
      <c r="AQ12" s="72"/>
      <c r="AR12" s="72"/>
      <c r="AS12" s="72"/>
      <c r="AT12" s="72"/>
      <c r="AU12" s="72"/>
      <c r="AV12" s="72"/>
      <c r="AW12" s="72"/>
      <c r="AX12" s="72"/>
      <c r="AY12" s="72"/>
      <c r="AZ12" s="72"/>
      <c r="BA12" s="72"/>
      <c r="BB12" s="72"/>
      <c r="BC12" s="72"/>
      <c r="BD12" s="72"/>
      <c r="BE12" s="72"/>
      <c r="BF12" s="72"/>
      <c r="BG12" s="72"/>
      <c r="BH12" s="72"/>
      <c r="BI12" s="72"/>
      <c r="BJ12" s="72"/>
      <c r="BK12" s="72"/>
      <c r="BL12" s="72"/>
      <c r="BM12" s="72"/>
    </row>
    <row r="13" spans="1:65" s="73" customFormat="1" ht="21">
      <c r="A13" s="10"/>
      <c r="B13" s="65" t="s">
        <v>24</v>
      </c>
      <c r="C13" s="66"/>
      <c r="D13" s="67" t="s">
        <v>17</v>
      </c>
      <c r="E13" s="68" t="s">
        <v>25</v>
      </c>
      <c r="F13" s="69"/>
      <c r="G13" s="70"/>
      <c r="H13" s="71"/>
      <c r="I13" s="71" t="str">
        <f t="shared" ca="1" si="6"/>
        <v/>
      </c>
      <c r="J13" s="72"/>
      <c r="K13" s="72"/>
      <c r="L13" s="72"/>
      <c r="M13" s="72"/>
      <c r="N13" s="72"/>
      <c r="O13" s="72"/>
      <c r="P13" s="72"/>
      <c r="Q13" s="72"/>
      <c r="R13" s="72"/>
      <c r="S13" s="72"/>
      <c r="T13" s="72"/>
      <c r="U13" s="72"/>
      <c r="V13" s="72"/>
      <c r="W13" s="72"/>
      <c r="X13" s="72"/>
      <c r="Y13" s="72"/>
      <c r="Z13" s="72"/>
      <c r="AA13" s="72"/>
      <c r="AB13" s="104"/>
      <c r="AC13" s="104"/>
      <c r="AD13" s="84"/>
      <c r="AE13" s="72"/>
      <c r="AF13" s="72"/>
      <c r="AG13" s="72"/>
      <c r="AH13" s="72"/>
      <c r="AI13" s="72"/>
      <c r="AJ13" s="72"/>
      <c r="AK13" s="72"/>
      <c r="AL13" s="72"/>
      <c r="AM13" s="72"/>
      <c r="AN13" s="72"/>
      <c r="AO13" s="72"/>
      <c r="AP13" s="72"/>
      <c r="AQ13" s="72"/>
      <c r="AR13" s="72"/>
      <c r="AS13" s="72"/>
      <c r="AT13" s="72"/>
      <c r="AU13" s="72"/>
      <c r="AV13" s="72"/>
      <c r="AW13" s="72"/>
      <c r="AX13" s="72"/>
      <c r="AY13" s="72"/>
      <c r="AZ13" s="72"/>
      <c r="BA13" s="72"/>
      <c r="BB13" s="72"/>
      <c r="BC13" s="72"/>
      <c r="BD13" s="72"/>
      <c r="BE13" s="72"/>
      <c r="BF13" s="72"/>
      <c r="BG13" s="72"/>
      <c r="BH13" s="72"/>
      <c r="BI13" s="72"/>
      <c r="BJ13" s="72"/>
      <c r="BK13" s="72"/>
      <c r="BL13" s="72"/>
      <c r="BM13" s="72"/>
    </row>
    <row r="14" spans="1:65" s="73" customFormat="1" ht="21">
      <c r="A14" s="10"/>
      <c r="B14" s="65" t="s">
        <v>26</v>
      </c>
      <c r="C14" s="66"/>
      <c r="D14" s="67" t="s">
        <v>17</v>
      </c>
      <c r="E14" s="68" t="s">
        <v>27</v>
      </c>
      <c r="F14" s="69"/>
      <c r="G14" s="70"/>
      <c r="H14" s="71"/>
      <c r="I14" s="71" t="str">
        <f t="shared" ca="1" si="6"/>
        <v/>
      </c>
      <c r="J14" s="72"/>
      <c r="K14" s="72"/>
      <c r="L14" s="72"/>
      <c r="M14" s="72"/>
      <c r="N14" s="72"/>
      <c r="O14" s="72"/>
      <c r="P14" s="72"/>
      <c r="Q14" s="72"/>
      <c r="R14" s="72"/>
      <c r="S14" s="72"/>
      <c r="T14" s="72"/>
      <c r="U14" s="72"/>
      <c r="V14" s="72"/>
      <c r="W14" s="72"/>
      <c r="X14" s="72"/>
      <c r="Y14" s="72"/>
      <c r="Z14" s="72"/>
      <c r="AA14" s="72"/>
      <c r="AB14" s="72"/>
      <c r="AC14" s="72"/>
      <c r="AD14" s="72"/>
      <c r="AE14" s="72"/>
      <c r="AF14" s="72"/>
      <c r="AG14" s="72"/>
      <c r="AH14" s="72"/>
      <c r="AI14" s="72"/>
      <c r="AJ14" s="104"/>
      <c r="AK14" s="104"/>
      <c r="AL14" s="104"/>
      <c r="AM14" s="104"/>
      <c r="AN14" s="104"/>
      <c r="AO14" s="104"/>
      <c r="AP14" s="104"/>
      <c r="AQ14" s="104"/>
      <c r="AR14" s="104"/>
      <c r="AS14" s="84"/>
      <c r="AT14" s="84"/>
      <c r="AU14" s="84"/>
      <c r="AV14" s="72"/>
      <c r="AW14" s="72"/>
      <c r="AX14" s="72"/>
      <c r="AY14" s="72"/>
      <c r="AZ14" s="72"/>
      <c r="BA14" s="72"/>
      <c r="BB14" s="72"/>
      <c r="BC14" s="72"/>
      <c r="BD14" s="72"/>
      <c r="BE14" s="72"/>
      <c r="BF14" s="72"/>
      <c r="BG14" s="72"/>
      <c r="BH14" s="72"/>
      <c r="BI14" s="72"/>
      <c r="BJ14" s="72"/>
      <c r="BK14" s="72"/>
      <c r="BL14" s="72"/>
      <c r="BM14" s="72"/>
    </row>
    <row r="15" spans="1:65" s="73" customFormat="1" ht="21">
      <c r="A15" s="10"/>
      <c r="B15" s="102" t="s">
        <v>28</v>
      </c>
      <c r="C15" s="66"/>
      <c r="D15" s="67" t="s">
        <v>29</v>
      </c>
      <c r="E15" s="68" t="s">
        <v>30</v>
      </c>
      <c r="F15" s="69"/>
      <c r="G15" s="70"/>
      <c r="H15" s="71"/>
      <c r="I15" s="71" t="str">
        <f t="shared" ca="1" si="6"/>
        <v/>
      </c>
      <c r="J15" s="72"/>
      <c r="K15" s="72"/>
      <c r="L15" s="72"/>
      <c r="M15" s="72"/>
      <c r="N15" s="72"/>
      <c r="O15" s="72"/>
      <c r="P15" s="72"/>
      <c r="Q15" s="72"/>
      <c r="R15" s="72"/>
      <c r="S15" s="72"/>
      <c r="T15" s="72"/>
      <c r="U15" s="72"/>
      <c r="V15" s="72"/>
      <c r="W15" s="72"/>
      <c r="X15" s="72"/>
      <c r="Y15" s="72"/>
      <c r="Z15" s="72"/>
      <c r="AA15" s="72"/>
      <c r="AB15" s="84"/>
      <c r="AC15" s="104"/>
      <c r="AD15" s="104"/>
      <c r="AE15" s="104"/>
      <c r="AF15" s="104"/>
      <c r="AG15" s="104"/>
      <c r="AH15" s="104"/>
      <c r="AI15" s="104"/>
      <c r="AJ15" s="104"/>
      <c r="AK15" s="104"/>
      <c r="AL15" s="104"/>
      <c r="AM15" s="104"/>
      <c r="AN15" s="104"/>
      <c r="AO15" s="104"/>
      <c r="AP15" s="84"/>
      <c r="AQ15" s="72"/>
      <c r="AR15" s="72"/>
      <c r="AS15" s="72"/>
      <c r="AT15" s="72"/>
      <c r="AU15" s="72"/>
      <c r="AV15" s="72"/>
      <c r="AW15" s="72"/>
      <c r="AX15" s="72"/>
      <c r="AY15" s="72"/>
      <c r="AZ15" s="72"/>
      <c r="BA15" s="72"/>
      <c r="BB15" s="72"/>
      <c r="BC15" s="72"/>
      <c r="BD15" s="72"/>
      <c r="BE15" s="72"/>
      <c r="BF15" s="72"/>
      <c r="BG15" s="72"/>
      <c r="BH15" s="72"/>
      <c r="BI15" s="72"/>
      <c r="BJ15" s="72"/>
      <c r="BK15" s="72"/>
      <c r="BL15" s="72"/>
      <c r="BM15" s="72"/>
    </row>
    <row r="16" spans="1:65" s="73" customFormat="1" ht="21">
      <c r="A16" s="10"/>
      <c r="B16" s="112" t="s">
        <v>31</v>
      </c>
      <c r="C16" s="116"/>
      <c r="D16" s="67" t="s">
        <v>32</v>
      </c>
      <c r="E16" s="68"/>
      <c r="F16" s="69"/>
      <c r="G16" s="70"/>
      <c r="H16" s="71"/>
      <c r="I16" s="71" t="str">
        <f t="shared" ca="1" si="6"/>
        <v/>
      </c>
      <c r="J16" s="72"/>
      <c r="K16" s="72"/>
      <c r="L16" s="72"/>
      <c r="M16" s="72"/>
      <c r="N16" s="72"/>
      <c r="O16" s="72"/>
      <c r="P16" s="72"/>
      <c r="Q16" s="72"/>
      <c r="R16" s="72"/>
      <c r="S16" s="72"/>
      <c r="T16" s="72"/>
      <c r="U16" s="72"/>
      <c r="V16" s="72"/>
      <c r="W16" s="72"/>
      <c r="X16" s="72"/>
      <c r="Y16" s="72"/>
      <c r="Z16" s="72"/>
      <c r="AA16" s="72"/>
      <c r="AB16" s="72"/>
      <c r="AC16" s="72"/>
      <c r="AD16" s="72"/>
      <c r="AE16" s="72"/>
      <c r="AF16" s="72"/>
      <c r="AG16" s="72"/>
      <c r="AH16" s="72"/>
      <c r="AI16" s="72"/>
      <c r="AJ16" s="72"/>
      <c r="AK16" s="72"/>
      <c r="AL16" s="72"/>
      <c r="AM16" s="72"/>
      <c r="AN16" s="72"/>
      <c r="AO16" s="72"/>
      <c r="AP16" s="72"/>
      <c r="AQ16" s="72"/>
      <c r="AR16" s="72"/>
      <c r="AS16" s="72"/>
      <c r="AT16" s="72"/>
      <c r="AU16" s="72"/>
      <c r="AV16" s="72"/>
      <c r="AW16" s="72"/>
      <c r="AX16" s="72"/>
      <c r="AY16" s="72"/>
      <c r="AZ16" s="72"/>
      <c r="BA16" s="72"/>
      <c r="BB16" s="72"/>
      <c r="BC16" s="72"/>
      <c r="BD16" s="72"/>
      <c r="BE16" s="72"/>
      <c r="BF16" s="72"/>
      <c r="BG16" s="72"/>
      <c r="BH16" s="72"/>
      <c r="BI16" s="72"/>
      <c r="BJ16" s="72"/>
      <c r="BK16" s="72"/>
      <c r="BL16" s="72"/>
      <c r="BM16" s="72"/>
    </row>
    <row r="17" spans="1:65" s="73" customFormat="1" ht="21">
      <c r="A17" s="10"/>
      <c r="B17" s="65" t="s">
        <v>33</v>
      </c>
      <c r="C17" s="66"/>
      <c r="D17" s="67" t="s">
        <v>34</v>
      </c>
      <c r="E17" s="68" t="s">
        <v>35</v>
      </c>
      <c r="F17" s="69"/>
      <c r="G17" s="70"/>
      <c r="H17" s="71"/>
      <c r="I17" s="71" t="str">
        <f t="shared" ca="1" si="6"/>
        <v/>
      </c>
      <c r="J17" s="72"/>
      <c r="K17" s="72"/>
      <c r="L17" s="72"/>
      <c r="M17" s="72"/>
      <c r="N17" s="72"/>
      <c r="O17" s="72"/>
      <c r="P17" s="72"/>
      <c r="Q17" s="72"/>
      <c r="R17" s="72"/>
      <c r="S17" s="72"/>
      <c r="T17" s="72"/>
      <c r="U17" s="72"/>
      <c r="V17" s="72"/>
      <c r="W17" s="72"/>
      <c r="X17" s="72"/>
      <c r="Y17" s="72"/>
      <c r="Z17" s="72"/>
      <c r="AA17" s="72"/>
      <c r="AB17" s="121"/>
      <c r="AC17" s="121"/>
      <c r="AD17" s="121"/>
      <c r="AE17" s="111"/>
      <c r="AF17" s="111"/>
      <c r="AG17" s="111"/>
      <c r="AH17" s="111"/>
      <c r="AI17" s="111"/>
      <c r="AJ17" s="121"/>
      <c r="AK17" s="121"/>
      <c r="AL17" s="111"/>
      <c r="AM17" s="111"/>
      <c r="AN17" s="111"/>
      <c r="AO17" s="111"/>
      <c r="AP17" s="111"/>
      <c r="AQ17" s="121"/>
      <c r="AR17" s="121"/>
      <c r="AS17" s="111"/>
      <c r="AT17" s="72"/>
      <c r="AU17" s="72"/>
      <c r="AV17" s="72"/>
      <c r="AW17" s="72"/>
      <c r="AX17" s="72"/>
      <c r="AY17" s="72"/>
      <c r="AZ17" s="72"/>
      <c r="BA17" s="72"/>
      <c r="BB17" s="72"/>
      <c r="BC17" s="72"/>
      <c r="BD17" s="72"/>
      <c r="BE17" s="72"/>
      <c r="BF17" s="72"/>
      <c r="BG17" s="72"/>
      <c r="BH17" s="72"/>
      <c r="BI17" s="72"/>
      <c r="BJ17" s="72"/>
      <c r="BK17" s="72"/>
      <c r="BL17" s="72"/>
      <c r="BM17" s="72"/>
    </row>
    <row r="18" spans="1:65" s="73" customFormat="1" ht="21">
      <c r="A18" s="10"/>
      <c r="B18" s="65" t="s">
        <v>36</v>
      </c>
      <c r="C18" s="66"/>
      <c r="D18" s="67" t="s">
        <v>34</v>
      </c>
      <c r="E18" s="68" t="s">
        <v>37</v>
      </c>
      <c r="F18" s="69"/>
      <c r="G18" s="70"/>
      <c r="H18" s="71"/>
      <c r="I18" s="71" t="str">
        <f t="shared" ca="1" si="6"/>
        <v/>
      </c>
      <c r="J18" s="72"/>
      <c r="K18" s="72"/>
      <c r="L18" s="72"/>
      <c r="M18" s="72"/>
      <c r="N18" s="72"/>
      <c r="O18" s="72"/>
      <c r="P18" s="72"/>
      <c r="Q18" s="72"/>
      <c r="R18" s="72"/>
      <c r="S18" s="72"/>
      <c r="T18" s="72"/>
      <c r="U18" s="72"/>
      <c r="V18" s="72"/>
      <c r="W18" s="72"/>
      <c r="X18" s="72"/>
      <c r="Y18" s="72"/>
      <c r="Z18" s="72"/>
      <c r="AA18" s="72"/>
      <c r="AB18" s="121"/>
      <c r="AC18" s="121"/>
      <c r="AD18" s="121"/>
      <c r="AE18" s="121"/>
      <c r="AF18" s="111"/>
      <c r="AG18" s="111"/>
      <c r="AH18" s="111"/>
      <c r="AI18" s="111"/>
      <c r="AJ18" s="121"/>
      <c r="AK18" s="121"/>
      <c r="AL18" s="111"/>
      <c r="AM18" s="111"/>
      <c r="AN18" s="111"/>
      <c r="AO18" s="111"/>
      <c r="AP18" s="111"/>
      <c r="AQ18" s="121"/>
      <c r="AR18" s="121"/>
      <c r="AS18" s="111"/>
      <c r="AT18" s="72"/>
      <c r="AU18" s="72"/>
      <c r="AV18" s="72"/>
      <c r="AW18" s="72"/>
      <c r="AX18" s="72"/>
      <c r="AY18" s="72"/>
      <c r="AZ18" s="72"/>
      <c r="BA18" s="72"/>
      <c r="BB18" s="72"/>
      <c r="BC18" s="72"/>
      <c r="BD18" s="72"/>
      <c r="BE18" s="72"/>
      <c r="BF18" s="72"/>
      <c r="BG18" s="72"/>
      <c r="BH18" s="72"/>
      <c r="BI18" s="72"/>
      <c r="BJ18" s="72"/>
      <c r="BK18" s="72"/>
      <c r="BL18" s="72"/>
      <c r="BM18" s="72"/>
    </row>
    <row r="19" spans="1:65" s="73" customFormat="1" ht="21">
      <c r="A19" s="10"/>
      <c r="B19" s="65" t="s">
        <v>38</v>
      </c>
      <c r="C19" s="66"/>
      <c r="D19" s="67" t="s">
        <v>34</v>
      </c>
      <c r="E19" s="68" t="s">
        <v>37</v>
      </c>
      <c r="F19" s="69"/>
      <c r="G19" s="70"/>
      <c r="H19" s="71"/>
      <c r="I19" s="71" t="str">
        <f t="shared" ca="1" si="6"/>
        <v/>
      </c>
      <c r="J19" s="72"/>
      <c r="K19" s="72"/>
      <c r="L19" s="72"/>
      <c r="M19" s="72"/>
      <c r="N19" s="72"/>
      <c r="O19" s="72"/>
      <c r="P19" s="72"/>
      <c r="Q19" s="72"/>
      <c r="R19" s="72"/>
      <c r="S19" s="72"/>
      <c r="T19" s="72"/>
      <c r="U19" s="72"/>
      <c r="V19" s="72"/>
      <c r="W19" s="72"/>
      <c r="X19" s="72"/>
      <c r="Y19" s="72"/>
      <c r="Z19" s="72"/>
      <c r="AA19" s="72"/>
      <c r="AB19" s="121"/>
      <c r="AC19" s="121"/>
      <c r="AD19" s="121"/>
      <c r="AE19" s="121"/>
      <c r="AF19" s="124"/>
      <c r="AG19" s="111"/>
      <c r="AH19" s="111"/>
      <c r="AI19" s="111"/>
      <c r="AJ19" s="125"/>
      <c r="AK19" s="121"/>
      <c r="AL19" s="111"/>
      <c r="AM19" s="111"/>
      <c r="AN19" s="111"/>
      <c r="AO19" s="111"/>
      <c r="AP19" s="111"/>
      <c r="AQ19" s="111"/>
      <c r="AR19" s="121"/>
      <c r="AS19" s="111"/>
      <c r="AT19" s="85"/>
      <c r="AU19" s="72"/>
      <c r="AV19" s="72"/>
      <c r="AW19" s="72"/>
      <c r="AX19" s="72"/>
      <c r="AY19" s="72"/>
      <c r="AZ19" s="72"/>
      <c r="BA19" s="72"/>
      <c r="BB19" s="72"/>
      <c r="BC19" s="72"/>
      <c r="BD19" s="72"/>
      <c r="BE19" s="72"/>
      <c r="BF19" s="72"/>
      <c r="BG19" s="72"/>
      <c r="BH19" s="72"/>
      <c r="BI19" s="72"/>
      <c r="BJ19" s="72"/>
      <c r="BK19" s="72"/>
      <c r="BL19" s="72"/>
      <c r="BM19" s="72"/>
    </row>
    <row r="20" spans="1:65" s="73" customFormat="1" ht="21">
      <c r="A20" s="10"/>
      <c r="B20" s="65" t="s">
        <v>39</v>
      </c>
      <c r="C20" s="66"/>
      <c r="D20" s="67" t="s">
        <v>40</v>
      </c>
      <c r="E20" s="68" t="s">
        <v>41</v>
      </c>
      <c r="F20" s="69"/>
      <c r="G20" s="70"/>
      <c r="H20" s="71"/>
      <c r="I20" s="71" t="str">
        <f t="shared" ca="1" si="6"/>
        <v/>
      </c>
      <c r="J20" s="72"/>
      <c r="K20" s="72"/>
      <c r="L20" s="72"/>
      <c r="M20" s="72"/>
      <c r="N20" s="72"/>
      <c r="O20" s="72"/>
      <c r="P20" s="72"/>
      <c r="Q20" s="72"/>
      <c r="R20" s="72"/>
      <c r="S20" s="72"/>
      <c r="T20" s="72"/>
      <c r="U20" s="72"/>
      <c r="V20" s="72"/>
      <c r="W20" s="72"/>
      <c r="X20" s="72"/>
      <c r="Y20" s="72"/>
      <c r="Z20" s="72"/>
      <c r="AA20" s="72"/>
      <c r="AB20" s="121"/>
      <c r="AC20" s="121"/>
      <c r="AD20" s="111"/>
      <c r="AE20" s="111"/>
      <c r="AF20" s="111"/>
      <c r="AG20" s="111"/>
      <c r="AH20" s="111"/>
      <c r="AI20" s="111"/>
      <c r="AJ20" s="121"/>
      <c r="AK20" s="121"/>
      <c r="AL20" s="111"/>
      <c r="AM20" s="111"/>
      <c r="AN20" s="111"/>
      <c r="AO20" s="111"/>
      <c r="AP20" s="111"/>
      <c r="AQ20" s="111"/>
      <c r="AR20" s="72"/>
      <c r="AS20" s="72"/>
      <c r="AT20" s="72"/>
      <c r="AU20" s="72"/>
      <c r="AV20" s="72"/>
      <c r="AW20" s="72"/>
      <c r="AX20" s="72"/>
      <c r="AY20" s="72"/>
      <c r="AZ20" s="72"/>
      <c r="BA20" s="72"/>
      <c r="BB20" s="72"/>
      <c r="BC20" s="72"/>
      <c r="BD20" s="72"/>
      <c r="BE20" s="72"/>
      <c r="BF20" s="72"/>
      <c r="BG20" s="72"/>
      <c r="BH20" s="72"/>
      <c r="BI20" s="72"/>
      <c r="BJ20" s="72"/>
      <c r="BK20" s="72"/>
      <c r="BL20" s="72"/>
      <c r="BM20" s="72"/>
    </row>
    <row r="21" spans="1:65" s="73" customFormat="1" ht="21">
      <c r="A21" s="10"/>
      <c r="B21" s="65" t="s">
        <v>42</v>
      </c>
      <c r="C21" s="66"/>
      <c r="D21" s="67" t="s">
        <v>43</v>
      </c>
      <c r="E21" s="68" t="s">
        <v>44</v>
      </c>
      <c r="F21" s="69"/>
      <c r="G21" s="70"/>
      <c r="H21" s="71"/>
      <c r="I21" s="71" t="str">
        <f t="shared" ca="1" si="6"/>
        <v/>
      </c>
      <c r="J21" s="72"/>
      <c r="K21" s="72"/>
      <c r="L21" s="72"/>
      <c r="M21" s="72"/>
      <c r="N21" s="72"/>
      <c r="O21" s="72"/>
      <c r="P21" s="72"/>
      <c r="Q21" s="72"/>
      <c r="R21" s="72"/>
      <c r="S21" s="72"/>
      <c r="T21" s="72"/>
      <c r="U21" s="72"/>
      <c r="V21" s="72"/>
      <c r="W21" s="72"/>
      <c r="X21" s="72"/>
      <c r="Y21" s="72"/>
      <c r="Z21" s="72"/>
      <c r="AA21" s="72"/>
      <c r="AB21" s="72"/>
      <c r="AC21" s="72"/>
      <c r="AD21" s="72"/>
      <c r="AE21" s="72"/>
      <c r="AF21" s="72"/>
      <c r="AG21" s="72"/>
      <c r="AH21" s="72"/>
      <c r="AI21" s="72"/>
      <c r="AJ21" s="72"/>
      <c r="AK21" s="72"/>
      <c r="AL21" s="72"/>
      <c r="AM21" s="85"/>
      <c r="AN21" s="85"/>
      <c r="AO21" s="85"/>
      <c r="AP21" s="111"/>
      <c r="AQ21" s="111"/>
      <c r="AR21" s="111"/>
      <c r="AS21" s="111"/>
      <c r="AT21" s="111"/>
      <c r="AU21" s="72"/>
      <c r="AV21" s="72"/>
      <c r="AW21" s="72"/>
      <c r="AX21" s="72"/>
      <c r="AY21" s="72"/>
      <c r="AZ21" s="72"/>
      <c r="BA21" s="72"/>
      <c r="BB21" s="72"/>
      <c r="BC21" s="72"/>
      <c r="BD21" s="72"/>
      <c r="BE21" s="72"/>
      <c r="BF21" s="72"/>
      <c r="BG21" s="72"/>
      <c r="BH21" s="72"/>
      <c r="BI21" s="72"/>
      <c r="BJ21" s="72"/>
      <c r="BK21" s="72"/>
      <c r="BL21" s="72"/>
      <c r="BM21" s="72"/>
    </row>
    <row r="22" spans="1:65" s="73" customFormat="1" ht="21">
      <c r="A22" s="10"/>
      <c r="B22" s="65" t="s">
        <v>45</v>
      </c>
      <c r="C22" s="66"/>
      <c r="D22" s="67" t="s">
        <v>43</v>
      </c>
      <c r="E22" s="68" t="s">
        <v>44</v>
      </c>
      <c r="F22" s="69"/>
      <c r="G22" s="70"/>
      <c r="H22" s="71"/>
      <c r="I22" s="71" t="str">
        <f t="shared" ca="1" si="6"/>
        <v/>
      </c>
      <c r="J22" s="72"/>
      <c r="K22" s="72"/>
      <c r="L22" s="72"/>
      <c r="M22" s="72"/>
      <c r="N22" s="72"/>
      <c r="O22" s="72"/>
      <c r="P22" s="72"/>
      <c r="Q22" s="72"/>
      <c r="R22" s="72"/>
      <c r="S22" s="72"/>
      <c r="T22" s="72"/>
      <c r="U22" s="72"/>
      <c r="V22" s="72"/>
      <c r="W22" s="72"/>
      <c r="X22" s="72"/>
      <c r="Y22" s="72"/>
      <c r="Z22" s="72"/>
      <c r="AA22" s="72"/>
      <c r="AB22" s="72"/>
      <c r="AC22" s="72"/>
      <c r="AD22" s="72"/>
      <c r="AE22" s="72"/>
      <c r="AF22" s="72"/>
      <c r="AG22" s="72"/>
      <c r="AH22" s="72"/>
      <c r="AI22" s="72"/>
      <c r="AJ22" s="72"/>
      <c r="AK22" s="72"/>
      <c r="AL22" s="72"/>
      <c r="AM22" s="85"/>
      <c r="AN22" s="85"/>
      <c r="AO22" s="85"/>
      <c r="AP22" s="111"/>
      <c r="AQ22" s="111"/>
      <c r="AR22" s="111"/>
      <c r="AS22" s="111"/>
      <c r="AT22" s="111"/>
      <c r="AU22" s="72"/>
      <c r="AV22" s="72"/>
      <c r="AW22" s="72"/>
      <c r="AX22" s="72"/>
      <c r="AY22" s="72"/>
      <c r="AZ22" s="72"/>
      <c r="BA22" s="72"/>
      <c r="BB22" s="72"/>
      <c r="BC22" s="72"/>
      <c r="BD22" s="72"/>
      <c r="BE22" s="72"/>
      <c r="BF22" s="72"/>
      <c r="BG22" s="72"/>
      <c r="BH22" s="72"/>
      <c r="BI22" s="72"/>
      <c r="BJ22" s="72"/>
      <c r="BK22" s="72"/>
      <c r="BL22" s="72"/>
      <c r="BM22" s="72"/>
    </row>
    <row r="23" spans="1:65" s="73" customFormat="1" ht="21">
      <c r="A23" s="10"/>
      <c r="B23" s="65" t="s">
        <v>46</v>
      </c>
      <c r="C23" s="66"/>
      <c r="D23" s="67" t="s">
        <v>47</v>
      </c>
      <c r="E23" s="68" t="s">
        <v>48</v>
      </c>
      <c r="F23" s="69"/>
      <c r="G23" s="70"/>
      <c r="H23" s="71"/>
      <c r="I23" s="71" t="str">
        <f t="shared" ca="1" si="6"/>
        <v/>
      </c>
      <c r="J23" s="72"/>
      <c r="K23" s="72"/>
      <c r="L23" s="72"/>
      <c r="M23" s="72"/>
      <c r="N23" s="72"/>
      <c r="O23" s="72"/>
      <c r="P23" s="72"/>
      <c r="Q23" s="72"/>
      <c r="R23" s="72"/>
      <c r="S23" s="72"/>
      <c r="T23" s="72"/>
      <c r="U23" s="72"/>
      <c r="V23" s="72"/>
      <c r="W23" s="72"/>
      <c r="X23" s="72"/>
      <c r="Y23" s="72"/>
      <c r="Z23" s="72"/>
      <c r="AA23" s="72"/>
      <c r="AB23" s="72"/>
      <c r="AC23" s="72"/>
      <c r="AD23" s="72"/>
      <c r="AE23" s="72"/>
      <c r="AF23" s="72"/>
      <c r="AG23" s="72"/>
      <c r="AH23" s="72"/>
      <c r="AI23" s="72"/>
      <c r="AJ23" s="72"/>
      <c r="AK23" s="72"/>
      <c r="AL23" s="72"/>
      <c r="AM23" s="111"/>
      <c r="AN23" s="111"/>
      <c r="AO23" s="111"/>
      <c r="AP23" s="111"/>
      <c r="AQ23" s="121"/>
      <c r="AR23" s="121"/>
      <c r="AS23" s="111"/>
      <c r="AT23" s="111"/>
      <c r="AU23" s="111"/>
      <c r="AV23" s="72"/>
      <c r="AW23" s="72"/>
      <c r="AX23" s="72"/>
      <c r="AY23" s="72"/>
      <c r="AZ23" s="72"/>
      <c r="BA23" s="72"/>
      <c r="BB23" s="72"/>
      <c r="BC23" s="72"/>
      <c r="BD23" s="72"/>
      <c r="BE23" s="72"/>
      <c r="BF23" s="72"/>
      <c r="BG23" s="72"/>
      <c r="BH23" s="72"/>
      <c r="BI23" s="72"/>
      <c r="BJ23" s="72"/>
      <c r="BK23" s="72"/>
      <c r="BL23" s="72"/>
      <c r="BM23" s="72"/>
    </row>
    <row r="24" spans="1:65" s="73" customFormat="1" ht="21">
      <c r="A24" s="10"/>
      <c r="B24" s="65"/>
      <c r="C24" s="66"/>
      <c r="D24" s="67"/>
      <c r="E24" s="68"/>
      <c r="F24" s="69"/>
      <c r="G24" s="70"/>
      <c r="H24" s="71"/>
      <c r="I24" s="71" t="str">
        <f t="shared" ca="1" si="6"/>
        <v/>
      </c>
      <c r="J24" s="72"/>
      <c r="K24" s="72"/>
      <c r="L24" s="72"/>
      <c r="M24" s="72"/>
      <c r="N24" s="72"/>
      <c r="O24" s="72"/>
      <c r="P24" s="72"/>
      <c r="Q24" s="72"/>
      <c r="R24" s="72"/>
      <c r="S24" s="72"/>
      <c r="T24" s="72"/>
      <c r="U24" s="72"/>
      <c r="V24" s="72"/>
      <c r="W24" s="72"/>
      <c r="X24" s="72"/>
      <c r="Y24" s="72"/>
      <c r="Z24" s="72"/>
      <c r="AA24" s="72"/>
      <c r="AB24" s="72"/>
      <c r="AC24" s="72"/>
      <c r="AD24" s="72"/>
      <c r="AE24" s="72"/>
      <c r="AF24" s="72"/>
      <c r="AG24" s="72"/>
      <c r="AH24" s="72"/>
      <c r="AI24" s="72"/>
      <c r="AJ24" s="72"/>
      <c r="AK24" s="72"/>
      <c r="AL24" s="72"/>
      <c r="AM24" s="72"/>
      <c r="AN24" s="72"/>
      <c r="AO24" s="72"/>
      <c r="AP24" s="72"/>
      <c r="AQ24" s="72"/>
      <c r="AR24" s="72"/>
      <c r="AS24" s="72"/>
      <c r="AT24" s="72"/>
      <c r="AU24" s="72"/>
      <c r="AV24" s="72"/>
      <c r="AW24" s="72"/>
      <c r="AX24" s="72"/>
      <c r="AY24" s="72"/>
      <c r="AZ24" s="72"/>
      <c r="BA24" s="72"/>
      <c r="BB24" s="72"/>
      <c r="BC24" s="72"/>
      <c r="BD24" s="72"/>
      <c r="BE24" s="72"/>
      <c r="BF24" s="72"/>
      <c r="BG24" s="72"/>
      <c r="BH24" s="72"/>
      <c r="BI24" s="72"/>
      <c r="BJ24" s="72"/>
      <c r="BK24" s="72"/>
      <c r="BL24" s="72"/>
      <c r="BM24" s="72"/>
    </row>
    <row r="25" spans="1:65" s="73" customFormat="1" ht="21">
      <c r="A25" s="10"/>
      <c r="B25" s="107" t="s">
        <v>49</v>
      </c>
      <c r="C25" s="117"/>
      <c r="D25" s="67" t="s">
        <v>50</v>
      </c>
      <c r="E25" s="68"/>
      <c r="F25" s="69"/>
      <c r="G25" s="70"/>
      <c r="H25" s="71"/>
      <c r="I25" s="71" t="str">
        <f t="shared" ca="1" si="6"/>
        <v/>
      </c>
      <c r="J25" s="72"/>
      <c r="K25" s="72"/>
      <c r="L25" s="72"/>
      <c r="M25" s="72"/>
      <c r="N25" s="72"/>
      <c r="O25" s="72"/>
      <c r="P25" s="72"/>
      <c r="Q25" s="72"/>
      <c r="R25" s="72"/>
      <c r="S25" s="72"/>
      <c r="T25" s="72"/>
      <c r="U25" s="72"/>
      <c r="V25" s="72"/>
      <c r="W25" s="72"/>
      <c r="X25" s="72"/>
      <c r="Y25" s="72"/>
      <c r="Z25" s="72"/>
      <c r="AA25" s="72"/>
      <c r="AB25" s="72"/>
      <c r="AC25" s="72"/>
      <c r="AD25" s="72"/>
      <c r="AE25" s="72"/>
      <c r="AF25" s="72"/>
      <c r="AG25" s="72"/>
      <c r="AH25" s="72"/>
      <c r="AI25" s="72"/>
      <c r="AJ25" s="72"/>
      <c r="AK25" s="72"/>
      <c r="AL25" s="72"/>
      <c r="AM25" s="72"/>
      <c r="AN25" s="72"/>
      <c r="AO25" s="72"/>
      <c r="AP25" s="72"/>
      <c r="AQ25" s="72"/>
      <c r="AR25" s="72"/>
      <c r="AS25" s="72"/>
      <c r="AT25" s="72"/>
      <c r="AU25" s="72"/>
      <c r="AV25" s="72"/>
      <c r="AW25" s="72"/>
      <c r="AX25" s="72"/>
      <c r="AY25" s="72"/>
      <c r="AZ25" s="72"/>
      <c r="BA25" s="72"/>
      <c r="BB25" s="72"/>
      <c r="BC25" s="72"/>
      <c r="BD25" s="72"/>
      <c r="BE25" s="72"/>
      <c r="BF25" s="72"/>
      <c r="BG25" s="72"/>
      <c r="BH25" s="72"/>
      <c r="BI25" s="72"/>
      <c r="BJ25" s="72"/>
      <c r="BK25" s="72"/>
      <c r="BL25" s="72"/>
      <c r="BM25" s="72"/>
    </row>
    <row r="26" spans="1:65" s="73" customFormat="1" ht="21">
      <c r="A26" s="10"/>
      <c r="B26" s="65" t="s">
        <v>51</v>
      </c>
      <c r="C26" s="66"/>
      <c r="D26" s="67" t="s">
        <v>11</v>
      </c>
      <c r="E26" s="68" t="s">
        <v>52</v>
      </c>
      <c r="F26" s="69"/>
      <c r="G26" s="70"/>
      <c r="H26" s="71"/>
      <c r="I26" s="71" t="str">
        <f t="shared" ca="1" si="6"/>
        <v/>
      </c>
      <c r="J26" s="72"/>
      <c r="K26" s="72"/>
      <c r="L26" s="72"/>
      <c r="M26" s="72"/>
      <c r="N26" s="72"/>
      <c r="O26" s="72"/>
      <c r="P26" s="72"/>
      <c r="Q26" s="72"/>
      <c r="R26" s="72"/>
      <c r="S26" s="72"/>
      <c r="T26" s="72"/>
      <c r="U26" s="72"/>
      <c r="V26" s="72"/>
      <c r="W26" s="72"/>
      <c r="X26" s="72"/>
      <c r="Y26" s="72"/>
      <c r="Z26" s="72"/>
      <c r="AA26" s="72"/>
      <c r="AB26" s="72"/>
      <c r="AC26" s="120"/>
      <c r="AD26" s="120"/>
      <c r="AE26" s="119"/>
      <c r="AF26" s="119"/>
      <c r="AG26" s="119"/>
      <c r="AH26" s="119"/>
      <c r="AI26" s="119"/>
      <c r="AJ26" s="120"/>
      <c r="AK26" s="120"/>
      <c r="AL26" s="119"/>
      <c r="AM26" s="119"/>
      <c r="AN26" s="119"/>
      <c r="AO26" s="119"/>
      <c r="AP26" s="119"/>
      <c r="AQ26" s="72"/>
      <c r="AR26" s="72"/>
      <c r="AS26" s="72"/>
      <c r="AT26" s="72"/>
      <c r="AU26" s="72"/>
      <c r="AV26" s="72"/>
      <c r="AW26" s="72"/>
      <c r="AX26" s="72"/>
      <c r="AY26" s="72"/>
      <c r="AZ26" s="72"/>
      <c r="BA26" s="72"/>
      <c r="BB26" s="72"/>
      <c r="BC26" s="72"/>
      <c r="BD26" s="72"/>
      <c r="BE26" s="72"/>
      <c r="BF26" s="72"/>
      <c r="BG26" s="72"/>
      <c r="BH26" s="72"/>
      <c r="BI26" s="72"/>
      <c r="BJ26" s="72"/>
      <c r="BK26" s="72"/>
      <c r="BL26" s="72"/>
      <c r="BM26" s="72"/>
    </row>
    <row r="27" spans="1:65" s="73" customFormat="1" ht="21">
      <c r="A27" s="10"/>
      <c r="B27" s="65" t="s">
        <v>53</v>
      </c>
      <c r="C27" s="66"/>
      <c r="D27" s="67" t="s">
        <v>50</v>
      </c>
      <c r="E27" s="68" t="s">
        <v>54</v>
      </c>
      <c r="F27" s="69"/>
      <c r="G27" s="70"/>
      <c r="H27" s="71"/>
      <c r="I27" s="71" t="str">
        <f t="shared" ca="1" si="6"/>
        <v/>
      </c>
      <c r="J27" s="72"/>
      <c r="K27" s="72"/>
      <c r="L27" s="72"/>
      <c r="M27" s="72"/>
      <c r="N27" s="72"/>
      <c r="O27" s="72"/>
      <c r="P27" s="72"/>
      <c r="Q27" s="72"/>
      <c r="R27" s="72"/>
      <c r="S27" s="72"/>
      <c r="T27" s="72"/>
      <c r="U27" s="72"/>
      <c r="V27" s="72"/>
      <c r="W27" s="72"/>
      <c r="X27" s="72"/>
      <c r="Y27" s="72"/>
      <c r="Z27" s="72"/>
      <c r="AA27" s="72"/>
      <c r="AB27" s="72"/>
      <c r="AC27" s="120"/>
      <c r="AD27" s="120"/>
      <c r="AE27" s="119"/>
      <c r="AF27" s="119"/>
      <c r="AG27" s="119"/>
      <c r="AH27" s="119"/>
      <c r="AI27" s="119"/>
      <c r="AJ27" s="122"/>
      <c r="AK27" s="120"/>
      <c r="AL27" s="119"/>
      <c r="AM27" s="119"/>
      <c r="AN27" s="119"/>
      <c r="AO27" s="119"/>
      <c r="AP27" s="119"/>
      <c r="AQ27" s="119"/>
      <c r="AR27" s="119"/>
      <c r="AS27" s="72"/>
      <c r="AT27" s="72"/>
      <c r="AU27" s="72"/>
      <c r="AV27" s="72"/>
      <c r="AW27" s="72"/>
      <c r="AX27" s="72"/>
      <c r="AY27" s="72"/>
      <c r="AZ27" s="72"/>
      <c r="BA27" s="72"/>
      <c r="BB27" s="72"/>
      <c r="BC27" s="72"/>
      <c r="BD27" s="72"/>
      <c r="BE27" s="72"/>
      <c r="BF27" s="72"/>
      <c r="BG27" s="72"/>
      <c r="BH27" s="72"/>
      <c r="BI27" s="72"/>
      <c r="BJ27" s="72"/>
      <c r="BK27" s="72"/>
      <c r="BL27" s="72"/>
      <c r="BM27" s="72"/>
    </row>
    <row r="28" spans="1:65" s="73" customFormat="1" ht="21">
      <c r="A28" s="10"/>
      <c r="B28" s="65" t="s">
        <v>55</v>
      </c>
      <c r="C28" s="66"/>
      <c r="D28" s="67" t="s">
        <v>50</v>
      </c>
      <c r="E28" s="68" t="s">
        <v>56</v>
      </c>
      <c r="F28" s="69"/>
      <c r="G28" s="70"/>
      <c r="H28" s="71"/>
      <c r="I28" s="71" t="str">
        <f t="shared" ca="1" si="6"/>
        <v/>
      </c>
      <c r="J28" s="72"/>
      <c r="K28" s="72"/>
      <c r="L28" s="72"/>
      <c r="M28" s="72"/>
      <c r="N28" s="72"/>
      <c r="O28" s="72"/>
      <c r="P28" s="72"/>
      <c r="Q28" s="72"/>
      <c r="R28" s="72"/>
      <c r="S28" s="72"/>
      <c r="T28" s="72"/>
      <c r="U28" s="72"/>
      <c r="V28" s="72"/>
      <c r="W28" s="72"/>
      <c r="X28" s="72"/>
      <c r="Y28" s="72"/>
      <c r="Z28" s="72"/>
      <c r="AA28" s="72"/>
      <c r="AB28" s="72"/>
      <c r="AC28" s="72"/>
      <c r="AD28" s="72"/>
      <c r="AE28" s="72"/>
      <c r="AF28" s="72"/>
      <c r="AG28" s="72"/>
      <c r="AH28" s="72"/>
      <c r="AI28" s="72"/>
      <c r="AJ28" s="72"/>
      <c r="AK28" s="72"/>
      <c r="AL28" s="119"/>
      <c r="AM28" s="119"/>
      <c r="AN28" s="119"/>
      <c r="AO28" s="119"/>
      <c r="AP28" s="119"/>
      <c r="AQ28" s="119"/>
      <c r="AR28" s="119"/>
      <c r="AS28" s="119"/>
      <c r="AT28" s="119"/>
      <c r="AU28" s="119"/>
      <c r="AV28" s="72"/>
      <c r="AW28" s="72"/>
      <c r="AX28" s="72"/>
      <c r="AY28" s="72"/>
      <c r="AZ28" s="72"/>
      <c r="BA28" s="72"/>
      <c r="BB28" s="72"/>
      <c r="BC28" s="72"/>
      <c r="BD28" s="72"/>
      <c r="BE28" s="72"/>
      <c r="BF28" s="72"/>
      <c r="BG28" s="72"/>
      <c r="BH28" s="72"/>
      <c r="BI28" s="72"/>
      <c r="BJ28" s="72"/>
      <c r="BK28" s="72"/>
      <c r="BL28" s="72"/>
      <c r="BM28" s="72"/>
    </row>
    <row r="29" spans="1:65" s="73" customFormat="1" ht="21">
      <c r="A29" s="10"/>
      <c r="B29" s="65" t="s">
        <v>57</v>
      </c>
      <c r="C29" s="66"/>
      <c r="D29" s="67" t="s">
        <v>50</v>
      </c>
      <c r="E29" s="68" t="s">
        <v>58</v>
      </c>
      <c r="F29" s="69"/>
      <c r="G29" s="70"/>
      <c r="H29" s="71"/>
      <c r="I29" s="71" t="str">
        <f t="shared" ca="1" si="6"/>
        <v/>
      </c>
      <c r="J29" s="72"/>
      <c r="K29" s="72"/>
      <c r="L29" s="72"/>
      <c r="M29" s="72"/>
      <c r="N29" s="72"/>
      <c r="O29" s="72"/>
      <c r="P29" s="72"/>
      <c r="Q29" s="72"/>
      <c r="R29" s="72"/>
      <c r="S29" s="72"/>
      <c r="T29" s="72"/>
      <c r="U29" s="72"/>
      <c r="V29" s="72"/>
      <c r="W29" s="72"/>
      <c r="X29" s="72"/>
      <c r="Y29" s="72"/>
      <c r="Z29" s="72"/>
      <c r="AA29" s="72"/>
      <c r="AB29" s="72"/>
      <c r="AC29" s="72"/>
      <c r="AD29" s="72"/>
      <c r="AE29" s="72"/>
      <c r="AF29" s="72"/>
      <c r="AG29" s="72"/>
      <c r="AH29" s="72"/>
      <c r="AI29" s="72"/>
      <c r="AJ29" s="72"/>
      <c r="AK29" s="72"/>
      <c r="AL29" s="119"/>
      <c r="AM29" s="119"/>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row>
    <row r="30" spans="1:65" s="73" customFormat="1" ht="21">
      <c r="A30" s="10"/>
      <c r="B30" s="65" t="s">
        <v>46</v>
      </c>
      <c r="C30" s="66"/>
      <c r="D30" s="67" t="s">
        <v>50</v>
      </c>
      <c r="E30" s="68" t="s">
        <v>48</v>
      </c>
      <c r="F30" s="69"/>
      <c r="G30" s="70"/>
      <c r="H30" s="71"/>
      <c r="I30" s="71" t="str">
        <f t="shared" ca="1" si="6"/>
        <v/>
      </c>
      <c r="J30" s="72"/>
      <c r="K30" s="72"/>
      <c r="L30" s="72"/>
      <c r="M30" s="72"/>
      <c r="N30" s="72"/>
      <c r="O30" s="72"/>
      <c r="P30" s="72"/>
      <c r="Q30" s="72"/>
      <c r="R30" s="72"/>
      <c r="S30" s="72"/>
      <c r="T30" s="72"/>
      <c r="U30" s="72"/>
      <c r="V30" s="72"/>
      <c r="W30" s="72"/>
      <c r="X30" s="72"/>
      <c r="Y30" s="72"/>
      <c r="Z30" s="72"/>
      <c r="AA30" s="72"/>
      <c r="AB30" s="72"/>
      <c r="AC30" s="72"/>
      <c r="AD30" s="72"/>
      <c r="AE30" s="72"/>
      <c r="AF30" s="72"/>
      <c r="AG30" s="72"/>
      <c r="AH30" s="72"/>
      <c r="AI30" s="72"/>
      <c r="AJ30" s="72"/>
      <c r="AK30" s="72"/>
      <c r="AL30" s="85"/>
      <c r="AM30" s="119"/>
      <c r="AN30" s="119"/>
      <c r="AO30" s="119"/>
      <c r="AP30" s="119"/>
      <c r="AQ30" s="72"/>
      <c r="AR30" s="72"/>
      <c r="AS30" s="72"/>
      <c r="AT30" s="72"/>
      <c r="AU30" s="72"/>
      <c r="AV30" s="72"/>
      <c r="AW30" s="72"/>
      <c r="AX30" s="72"/>
      <c r="AY30" s="72"/>
      <c r="AZ30" s="72"/>
      <c r="BA30" s="72"/>
      <c r="BB30" s="72"/>
      <c r="BC30" s="72"/>
      <c r="BD30" s="72"/>
      <c r="BE30" s="72"/>
      <c r="BF30" s="72"/>
      <c r="BG30" s="72"/>
      <c r="BH30" s="72"/>
      <c r="BI30" s="72"/>
      <c r="BJ30" s="72"/>
      <c r="BK30" s="72"/>
      <c r="BL30" s="72"/>
      <c r="BM30" s="72"/>
    </row>
    <row r="31" spans="1:65" s="73" customFormat="1" ht="21">
      <c r="A31" s="10"/>
      <c r="B31" s="65"/>
      <c r="C31" s="66"/>
      <c r="D31" s="67"/>
      <c r="E31" s="68"/>
      <c r="F31" s="69"/>
      <c r="G31" s="70"/>
      <c r="H31" s="71"/>
      <c r="I31" s="71" t="str">
        <f t="shared" ca="1" si="6"/>
        <v/>
      </c>
      <c r="J31" s="72"/>
      <c r="K31" s="72"/>
      <c r="L31" s="72"/>
      <c r="M31" s="72"/>
      <c r="N31" s="72"/>
      <c r="O31" s="72"/>
      <c r="P31" s="72"/>
      <c r="Q31" s="72"/>
      <c r="R31" s="72"/>
      <c r="S31" s="72"/>
      <c r="T31" s="72"/>
      <c r="U31" s="72"/>
      <c r="V31" s="72"/>
      <c r="W31" s="72"/>
      <c r="X31" s="72"/>
      <c r="Y31" s="72"/>
      <c r="Z31" s="72"/>
      <c r="AA31" s="72"/>
      <c r="AB31" s="72"/>
      <c r="AC31" s="72"/>
      <c r="AD31" s="72"/>
      <c r="AE31" s="72"/>
      <c r="AF31" s="72"/>
      <c r="AG31" s="72"/>
      <c r="AH31" s="72"/>
      <c r="AI31" s="72"/>
      <c r="AJ31" s="72"/>
      <c r="AK31" s="72"/>
      <c r="AL31" s="72"/>
      <c r="AM31" s="72"/>
      <c r="AN31" s="72"/>
      <c r="AO31" s="72"/>
      <c r="AP31" s="72"/>
      <c r="AQ31" s="72"/>
      <c r="AR31" s="72"/>
      <c r="AS31" s="72"/>
      <c r="AT31" s="72"/>
      <c r="AU31" s="72"/>
      <c r="AV31" s="72"/>
      <c r="AW31" s="72"/>
      <c r="AX31" s="72"/>
      <c r="AY31" s="72"/>
      <c r="AZ31" s="72"/>
      <c r="BA31" s="72"/>
      <c r="BB31" s="72"/>
      <c r="BC31" s="72"/>
      <c r="BD31" s="72"/>
      <c r="BE31" s="72"/>
      <c r="BF31" s="72"/>
      <c r="BG31" s="72"/>
      <c r="BH31" s="72"/>
      <c r="BI31" s="72"/>
      <c r="BJ31" s="72"/>
      <c r="BK31" s="72"/>
      <c r="BL31" s="72"/>
      <c r="BM31" s="72"/>
    </row>
    <row r="32" spans="1:65" s="73" customFormat="1" ht="21">
      <c r="A32" s="10"/>
      <c r="B32" s="109" t="s">
        <v>59</v>
      </c>
      <c r="C32" s="118"/>
      <c r="D32" s="67"/>
      <c r="E32" s="68"/>
      <c r="F32" s="69"/>
      <c r="G32" s="70"/>
      <c r="H32" s="71"/>
      <c r="I32" s="71" t="str">
        <f t="shared" ca="1" si="6"/>
        <v/>
      </c>
      <c r="J32" s="72"/>
      <c r="K32" s="72"/>
      <c r="L32" s="72"/>
      <c r="M32" s="72"/>
      <c r="N32" s="85"/>
      <c r="O32" s="72"/>
      <c r="P32" s="72"/>
      <c r="Q32" s="72"/>
      <c r="R32" s="72"/>
      <c r="S32" s="72"/>
      <c r="T32" s="72"/>
      <c r="U32" s="85"/>
      <c r="V32" s="72"/>
      <c r="W32" s="72"/>
      <c r="X32" s="72"/>
      <c r="Y32" s="72"/>
      <c r="Z32" s="72"/>
      <c r="AA32" s="72"/>
      <c r="AB32" s="85"/>
      <c r="AC32" s="72"/>
      <c r="AD32" s="72"/>
      <c r="AE32" s="72"/>
      <c r="AF32" s="72"/>
      <c r="AG32" s="72"/>
      <c r="AH32" s="72"/>
      <c r="AI32" s="72"/>
      <c r="AJ32" s="72"/>
      <c r="AK32" s="72"/>
      <c r="AL32" s="72"/>
      <c r="AM32" s="72"/>
      <c r="AN32" s="72"/>
      <c r="AO32" s="72"/>
      <c r="AP32" s="72"/>
      <c r="AQ32" s="72"/>
      <c r="AR32" s="72"/>
      <c r="AS32" s="72"/>
      <c r="AT32" s="72"/>
      <c r="AU32" s="72"/>
      <c r="AV32" s="72"/>
      <c r="AW32" s="72"/>
      <c r="AX32" s="72"/>
      <c r="AY32" s="72"/>
      <c r="AZ32" s="72"/>
      <c r="BA32" s="72"/>
      <c r="BB32" s="72"/>
      <c r="BC32" s="72"/>
      <c r="BD32" s="72"/>
      <c r="BE32" s="72"/>
      <c r="BF32" s="72"/>
      <c r="BG32" s="72"/>
      <c r="BH32" s="72"/>
      <c r="BI32" s="72"/>
      <c r="BJ32" s="72"/>
      <c r="BK32" s="72"/>
      <c r="BL32" s="72"/>
      <c r="BM32" s="72"/>
    </row>
    <row r="33" spans="1:65" s="73" customFormat="1" ht="21">
      <c r="A33" s="10"/>
      <c r="B33" s="65" t="s">
        <v>60</v>
      </c>
      <c r="C33" s="66"/>
      <c r="D33" s="67" t="s">
        <v>61</v>
      </c>
      <c r="E33" s="98" t="s">
        <v>62</v>
      </c>
      <c r="F33" s="69"/>
      <c r="G33" s="70"/>
      <c r="H33" s="71"/>
      <c r="I33" s="71" t="str">
        <f t="shared" ca="1" si="6"/>
        <v/>
      </c>
      <c r="J33" s="72"/>
      <c r="K33" s="72"/>
      <c r="L33" s="72"/>
      <c r="M33" s="72"/>
      <c r="N33" s="72"/>
      <c r="O33" s="72"/>
      <c r="P33" s="72"/>
      <c r="Q33" s="72"/>
      <c r="R33" s="72"/>
      <c r="S33" s="72"/>
      <c r="T33" s="72"/>
      <c r="U33" s="72"/>
      <c r="V33" s="72"/>
      <c r="W33" s="72"/>
      <c r="X33" s="72"/>
      <c r="Y33" s="72"/>
      <c r="Z33" s="72"/>
      <c r="AA33" s="72"/>
      <c r="AB33" s="110"/>
      <c r="AC33" s="72"/>
      <c r="AD33" s="72"/>
      <c r="AE33" s="72"/>
      <c r="AF33" s="72"/>
      <c r="AG33" s="72"/>
      <c r="AH33" s="72"/>
      <c r="AI33" s="72"/>
      <c r="AJ33" s="72"/>
      <c r="AK33" s="72"/>
      <c r="AL33" s="72"/>
      <c r="AM33" s="72"/>
      <c r="AN33" s="72"/>
      <c r="AO33" s="72"/>
      <c r="AP33" s="72"/>
      <c r="AQ33" s="72"/>
      <c r="AR33" s="72"/>
      <c r="AS33" s="72"/>
      <c r="AT33" s="72"/>
      <c r="AU33" s="72"/>
      <c r="AV33" s="72"/>
      <c r="AW33" s="72"/>
      <c r="AX33" s="72"/>
      <c r="AY33" s="72"/>
      <c r="AZ33" s="72"/>
      <c r="BA33" s="72"/>
      <c r="BB33" s="72"/>
      <c r="BC33" s="72"/>
      <c r="BD33" s="72"/>
      <c r="BE33" s="72"/>
      <c r="BF33" s="72"/>
      <c r="BG33" s="72"/>
      <c r="BH33" s="72"/>
      <c r="BI33" s="72"/>
      <c r="BJ33" s="72"/>
      <c r="BK33" s="72"/>
      <c r="BL33" s="72"/>
      <c r="BM33" s="72"/>
    </row>
    <row r="34" spans="1:65" s="73" customFormat="1" ht="21">
      <c r="A34" s="10"/>
      <c r="B34" s="65" t="s">
        <v>63</v>
      </c>
      <c r="C34" s="66"/>
      <c r="D34" s="67" t="s">
        <v>61</v>
      </c>
      <c r="E34" s="68" t="s">
        <v>64</v>
      </c>
      <c r="F34" s="69"/>
      <c r="G34" s="70"/>
      <c r="H34" s="71"/>
      <c r="I34" s="71" t="str">
        <f t="shared" ca="1" si="6"/>
        <v/>
      </c>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110"/>
      <c r="AJ34" s="72"/>
      <c r="AK34" s="72"/>
      <c r="AL34" s="72"/>
      <c r="AM34" s="72"/>
      <c r="AN34" s="72"/>
      <c r="AO34" s="72"/>
      <c r="AP34" s="72"/>
      <c r="AQ34" s="72"/>
      <c r="AR34" s="72"/>
      <c r="AS34" s="72"/>
      <c r="AT34" s="72"/>
      <c r="AU34" s="72"/>
      <c r="AV34" s="72"/>
      <c r="AW34" s="72"/>
      <c r="AX34" s="72"/>
      <c r="AY34" s="72"/>
      <c r="AZ34" s="72"/>
      <c r="BA34" s="72"/>
      <c r="BB34" s="72"/>
      <c r="BC34" s="72"/>
      <c r="BD34" s="72"/>
      <c r="BE34" s="72"/>
      <c r="BF34" s="72"/>
      <c r="BG34" s="72"/>
      <c r="BH34" s="72"/>
      <c r="BI34" s="72"/>
      <c r="BJ34" s="72"/>
      <c r="BK34" s="72"/>
      <c r="BL34" s="72"/>
      <c r="BM34" s="72"/>
    </row>
    <row r="35" spans="1:65" s="73" customFormat="1" ht="21">
      <c r="A35" s="10"/>
      <c r="B35" s="65" t="s">
        <v>65</v>
      </c>
      <c r="C35" s="66"/>
      <c r="D35" s="67" t="s">
        <v>61</v>
      </c>
      <c r="E35" s="68" t="s">
        <v>66</v>
      </c>
      <c r="F35" s="69"/>
      <c r="G35" s="70"/>
      <c r="H35" s="71"/>
      <c r="I35" s="71" t="str">
        <f t="shared" ca="1" si="6"/>
        <v/>
      </c>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110"/>
      <c r="AQ35" s="72"/>
      <c r="AR35" s="72"/>
      <c r="AS35" s="72"/>
      <c r="AT35" s="72"/>
      <c r="AU35" s="72"/>
      <c r="AV35" s="72"/>
      <c r="AW35" s="72"/>
      <c r="AX35" s="72"/>
      <c r="AY35" s="72"/>
      <c r="AZ35" s="72"/>
      <c r="BA35" s="72"/>
      <c r="BB35" s="72"/>
      <c r="BC35" s="72"/>
      <c r="BD35" s="72"/>
      <c r="BE35" s="72"/>
      <c r="BF35" s="72"/>
      <c r="BG35" s="72"/>
      <c r="BH35" s="72"/>
      <c r="BI35" s="72"/>
      <c r="BJ35" s="72"/>
      <c r="BK35" s="72"/>
      <c r="BL35" s="72"/>
      <c r="BM35" s="72"/>
    </row>
    <row r="36" spans="1:65" s="73" customFormat="1" ht="21">
      <c r="A36" s="10"/>
      <c r="B36" s="65" t="s">
        <v>67</v>
      </c>
      <c r="C36" s="66"/>
      <c r="D36" s="67" t="s">
        <v>61</v>
      </c>
      <c r="E36" s="68" t="s">
        <v>68</v>
      </c>
      <c r="F36" s="69"/>
      <c r="G36" s="70"/>
      <c r="H36" s="71"/>
      <c r="I36" s="71" t="str">
        <f t="shared" ca="1" si="6"/>
        <v/>
      </c>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110"/>
      <c r="AW36" s="72"/>
      <c r="AX36" s="72"/>
      <c r="AY36" s="72"/>
      <c r="AZ36" s="72"/>
      <c r="BA36" s="72"/>
      <c r="BB36" s="72"/>
      <c r="BC36" s="72"/>
      <c r="BD36" s="72"/>
      <c r="BE36" s="72"/>
      <c r="BF36" s="72"/>
      <c r="BG36" s="72"/>
      <c r="BH36" s="72"/>
      <c r="BI36" s="72"/>
      <c r="BJ36" s="72"/>
      <c r="BK36" s="72"/>
      <c r="BL36" s="72"/>
      <c r="BM36" s="72"/>
    </row>
    <row r="37" spans="1:65" s="73" customFormat="1" ht="21">
      <c r="A37" s="10"/>
      <c r="B37" s="108" t="s">
        <v>69</v>
      </c>
      <c r="C37" s="66"/>
      <c r="D37" s="67" t="s">
        <v>61</v>
      </c>
      <c r="E37" s="123" t="s">
        <v>70</v>
      </c>
      <c r="F37" s="69"/>
      <c r="G37" s="70"/>
      <c r="H37" s="71"/>
      <c r="I37" s="71" t="str">
        <f t="shared" ca="1" si="6"/>
        <v/>
      </c>
      <c r="J37" s="72"/>
      <c r="K37" s="72"/>
      <c r="L37" s="72"/>
      <c r="M37" s="72"/>
      <c r="N37" s="72"/>
      <c r="O37" s="72"/>
      <c r="P37" s="72"/>
      <c r="Q37" s="72"/>
      <c r="R37" s="72"/>
      <c r="S37" s="72"/>
      <c r="T37" s="72"/>
      <c r="U37" s="72"/>
      <c r="V37" s="72"/>
      <c r="W37" s="72"/>
      <c r="X37" s="72"/>
      <c r="Y37" s="72"/>
      <c r="Z37" s="72"/>
      <c r="AA37" s="72"/>
      <c r="AB37" s="72"/>
      <c r="AC37" s="72"/>
      <c r="AD37" s="72"/>
      <c r="AE37" s="72"/>
      <c r="AF37" s="72"/>
      <c r="AG37" s="72"/>
      <c r="AH37" s="72"/>
      <c r="AI37" s="72"/>
      <c r="AJ37" s="72"/>
      <c r="AK37" s="72"/>
      <c r="AL37" s="72"/>
      <c r="AM37" s="72"/>
      <c r="AN37" s="72"/>
      <c r="AO37" s="72"/>
      <c r="AP37" s="72"/>
      <c r="AQ37" s="72"/>
      <c r="AR37" s="72"/>
      <c r="AS37" s="72"/>
      <c r="AT37" s="72"/>
      <c r="AU37" s="72"/>
      <c r="AV37" s="72"/>
      <c r="AW37" s="110"/>
      <c r="AX37" s="72"/>
      <c r="AY37" s="72"/>
      <c r="AZ37" s="72"/>
      <c r="BA37" s="72"/>
      <c r="BB37" s="72"/>
      <c r="BC37" s="72"/>
      <c r="BD37" s="72"/>
      <c r="BE37" s="72"/>
      <c r="BF37" s="72"/>
      <c r="BG37" s="72"/>
      <c r="BH37" s="72"/>
      <c r="BI37" s="72"/>
      <c r="BJ37" s="72"/>
      <c r="BK37" s="72"/>
      <c r="BL37" s="72"/>
      <c r="BM37" s="72"/>
    </row>
    <row r="38" spans="1:65" s="73" customFormat="1" ht="21">
      <c r="A38" s="10"/>
      <c r="B38" s="65"/>
      <c r="C38" s="66"/>
      <c r="D38" s="67"/>
      <c r="E38" s="68"/>
      <c r="F38" s="69"/>
      <c r="G38" s="70"/>
      <c r="H38" s="71"/>
      <c r="I38" s="71" t="str">
        <f t="shared" ca="1" si="6"/>
        <v/>
      </c>
      <c r="J38" s="72"/>
      <c r="K38" s="72"/>
      <c r="L38" s="72"/>
      <c r="M38" s="72"/>
      <c r="N38" s="72"/>
      <c r="O38" s="72"/>
      <c r="P38" s="72"/>
      <c r="Q38" s="72"/>
      <c r="R38" s="72"/>
      <c r="S38" s="72"/>
      <c r="T38" s="72"/>
      <c r="U38" s="72"/>
      <c r="V38" s="72"/>
      <c r="W38" s="72"/>
      <c r="X38" s="72"/>
      <c r="Y38" s="72"/>
      <c r="Z38" s="72"/>
      <c r="AA38" s="72"/>
      <c r="AB38" s="72"/>
      <c r="AC38" s="72"/>
      <c r="AD38" s="72"/>
      <c r="AE38" s="72"/>
      <c r="AF38" s="72"/>
      <c r="AG38" s="72"/>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72"/>
      <c r="BH38" s="72"/>
      <c r="BI38" s="72"/>
      <c r="BJ38" s="72"/>
      <c r="BK38" s="72"/>
      <c r="BL38" s="72"/>
      <c r="BM38" s="72"/>
    </row>
    <row r="39" spans="1:65" s="73" customFormat="1" ht="21">
      <c r="A39" s="10"/>
      <c r="B39" s="65"/>
      <c r="C39" s="66"/>
      <c r="D39" s="67"/>
      <c r="E39" s="68"/>
      <c r="F39" s="69"/>
      <c r="G39" s="70"/>
      <c r="H39" s="71"/>
      <c r="I39" s="71" t="str">
        <f t="shared" ca="1" si="6"/>
        <v/>
      </c>
      <c r="J39" s="72"/>
      <c r="K39" s="72"/>
      <c r="L39" s="72"/>
      <c r="M39" s="72"/>
      <c r="N39" s="72"/>
      <c r="O39" s="72"/>
      <c r="P39" s="72"/>
      <c r="Q39" s="72"/>
      <c r="R39" s="72"/>
      <c r="S39" s="72"/>
      <c r="T39" s="72"/>
      <c r="U39" s="72"/>
      <c r="V39" s="72"/>
      <c r="W39" s="72"/>
      <c r="X39" s="72"/>
      <c r="Y39" s="72"/>
      <c r="Z39" s="72"/>
      <c r="AA39" s="72"/>
      <c r="AB39" s="72"/>
      <c r="AC39" s="72"/>
      <c r="AD39" s="72"/>
      <c r="AE39" s="72"/>
      <c r="AF39" s="72"/>
      <c r="AG39" s="72"/>
      <c r="AH39" s="72"/>
      <c r="AI39" s="72"/>
      <c r="AJ39" s="72"/>
      <c r="AK39" s="72"/>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row>
    <row r="40" spans="1:65" s="73" customFormat="1" ht="21">
      <c r="A40" s="10"/>
      <c r="B40" s="65"/>
      <c r="C40" s="66"/>
      <c r="D40" s="67"/>
      <c r="E40" s="68"/>
      <c r="F40" s="69"/>
      <c r="G40" s="70"/>
      <c r="H40" s="71"/>
      <c r="I40" s="71" t="str">
        <f t="shared" ca="1" si="6"/>
        <v/>
      </c>
      <c r="J40" s="72"/>
      <c r="K40" s="72"/>
      <c r="L40" s="72"/>
      <c r="M40" s="72"/>
      <c r="N40" s="72"/>
      <c r="O40" s="72"/>
      <c r="P40" s="72"/>
      <c r="Q40" s="72"/>
      <c r="R40" s="72"/>
      <c r="S40" s="72"/>
      <c r="T40" s="72"/>
      <c r="U40" s="72"/>
      <c r="V40" s="72"/>
      <c r="W40" s="72"/>
      <c r="X40" s="72"/>
      <c r="Y40" s="72"/>
      <c r="Z40" s="72"/>
      <c r="AA40" s="72"/>
      <c r="AB40" s="72"/>
      <c r="AC40" s="72"/>
      <c r="AD40" s="72"/>
      <c r="AE40" s="72"/>
      <c r="AF40" s="72"/>
      <c r="AG40" s="72"/>
      <c r="AH40" s="72"/>
      <c r="AI40" s="72"/>
      <c r="AJ40" s="72"/>
      <c r="AK40" s="72"/>
      <c r="AL40" s="72"/>
      <c r="AM40" s="72"/>
      <c r="AN40" s="72"/>
      <c r="AO40" s="72"/>
      <c r="AP40" s="72"/>
      <c r="AQ40" s="72"/>
      <c r="AR40" s="72"/>
      <c r="AS40" s="72"/>
      <c r="AT40" s="72"/>
      <c r="AU40" s="72"/>
      <c r="AV40" s="72"/>
      <c r="AW40" s="72"/>
      <c r="AX40" s="72"/>
      <c r="AY40" s="72"/>
      <c r="AZ40" s="72"/>
      <c r="BA40" s="72"/>
      <c r="BB40" s="72"/>
      <c r="BC40" s="72"/>
      <c r="BD40" s="72"/>
      <c r="BE40" s="72"/>
      <c r="BF40" s="72"/>
      <c r="BG40" s="72"/>
      <c r="BH40" s="72"/>
      <c r="BI40" s="72"/>
      <c r="BJ40" s="72"/>
      <c r="BK40" s="72"/>
      <c r="BL40" s="72"/>
      <c r="BM40" s="72"/>
    </row>
    <row r="41" spans="1:65" s="73" customFormat="1" ht="21">
      <c r="A41" s="10"/>
      <c r="B41" s="65"/>
      <c r="C41" s="66"/>
      <c r="D41" s="67"/>
      <c r="E41" s="68"/>
      <c r="F41" s="69"/>
      <c r="G41" s="70"/>
      <c r="H41" s="71"/>
      <c r="I41" s="71" t="str">
        <f t="shared" ca="1" si="6"/>
        <v/>
      </c>
      <c r="J41" s="72"/>
      <c r="K41" s="72"/>
      <c r="L41" s="72"/>
      <c r="M41" s="72"/>
      <c r="N41" s="72"/>
      <c r="O41" s="72"/>
      <c r="P41" s="72"/>
      <c r="Q41" s="72"/>
      <c r="R41" s="72"/>
      <c r="S41" s="72"/>
      <c r="T41" s="72"/>
      <c r="U41" s="72"/>
      <c r="V41" s="72"/>
      <c r="W41" s="72"/>
      <c r="X41" s="72"/>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72"/>
      <c r="BH41" s="72"/>
      <c r="BI41" s="72"/>
      <c r="BJ41" s="72"/>
      <c r="BK41" s="72"/>
      <c r="BL41" s="72"/>
      <c r="BM41" s="72"/>
    </row>
    <row r="42" spans="1:65" s="73" customFormat="1" ht="21">
      <c r="A42" s="10"/>
      <c r="B42" s="65"/>
      <c r="C42" s="66"/>
      <c r="D42" s="67"/>
      <c r="E42" s="68"/>
      <c r="F42" s="69"/>
      <c r="G42" s="70"/>
      <c r="H42" s="71"/>
      <c r="I42" s="71" t="str">
        <f t="shared" ca="1" si="6"/>
        <v/>
      </c>
      <c r="J42" s="72"/>
      <c r="K42" s="72"/>
      <c r="L42" s="72"/>
      <c r="M42" s="72"/>
      <c r="N42" s="72"/>
      <c r="O42" s="72"/>
      <c r="P42" s="72"/>
      <c r="Q42" s="72"/>
      <c r="R42" s="72"/>
      <c r="S42" s="72"/>
      <c r="T42" s="72"/>
      <c r="U42" s="72"/>
      <c r="V42" s="72"/>
      <c r="W42" s="72"/>
      <c r="X42" s="72"/>
      <c r="Y42" s="72"/>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row>
    <row r="43" spans="1:65" s="73" customFormat="1" ht="21">
      <c r="A43" s="10"/>
      <c r="B43" s="65"/>
      <c r="C43" s="66"/>
      <c r="D43" s="67"/>
      <c r="E43" s="68"/>
      <c r="F43" s="69"/>
      <c r="G43" s="70"/>
      <c r="H43" s="71"/>
      <c r="I43" s="71" t="str">
        <f t="shared" ca="1" si="6"/>
        <v/>
      </c>
      <c r="J43" s="72"/>
      <c r="K43" s="72"/>
      <c r="L43" s="72"/>
      <c r="M43" s="72"/>
      <c r="N43" s="72"/>
      <c r="O43" s="72"/>
      <c r="P43" s="72"/>
      <c r="Q43" s="72"/>
      <c r="R43" s="72"/>
      <c r="S43" s="72"/>
      <c r="T43" s="72"/>
      <c r="U43" s="72"/>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72"/>
      <c r="BH43" s="72"/>
      <c r="BI43" s="72"/>
      <c r="BJ43" s="72"/>
      <c r="BK43" s="72"/>
      <c r="BL43" s="72"/>
      <c r="BM43" s="72"/>
    </row>
    <row r="44" spans="1:65" s="73" customFormat="1" ht="21">
      <c r="A44" s="10"/>
      <c r="B44" s="65"/>
      <c r="C44" s="66"/>
      <c r="D44" s="67"/>
      <c r="E44" s="68"/>
      <c r="F44" s="69"/>
      <c r="G44" s="70"/>
      <c r="H44" s="71"/>
      <c r="I44" s="71" t="str">
        <f t="shared" ca="1" si="6"/>
        <v/>
      </c>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72"/>
      <c r="AQ44" s="72"/>
      <c r="AR44" s="72"/>
      <c r="AS44" s="72"/>
      <c r="AT44" s="72"/>
      <c r="AU44" s="72"/>
      <c r="AV44" s="72"/>
      <c r="AW44" s="72"/>
      <c r="AX44" s="72"/>
      <c r="AY44" s="72"/>
      <c r="AZ44" s="72"/>
      <c r="BA44" s="72"/>
      <c r="BB44" s="72"/>
      <c r="BC44" s="72"/>
      <c r="BD44" s="72"/>
      <c r="BE44" s="72"/>
      <c r="BF44" s="72"/>
      <c r="BG44" s="72"/>
      <c r="BH44" s="72"/>
      <c r="BI44" s="72"/>
      <c r="BJ44" s="72"/>
      <c r="BK44" s="72"/>
      <c r="BL44" s="72"/>
      <c r="BM44" s="72"/>
    </row>
    <row r="45" spans="1:65" s="73" customFormat="1" ht="21">
      <c r="A45" s="10"/>
      <c r="B45" s="65"/>
      <c r="C45" s="66"/>
      <c r="D45" s="67"/>
      <c r="E45" s="68"/>
      <c r="F45" s="69"/>
      <c r="G45" s="70"/>
      <c r="H45" s="71"/>
      <c r="I45" s="71" t="str">
        <f t="shared" ca="1" si="6"/>
        <v/>
      </c>
      <c r="J45" s="72"/>
      <c r="K45" s="72"/>
      <c r="L45" s="72"/>
      <c r="M45" s="72"/>
      <c r="N45" s="72"/>
      <c r="O45" s="72"/>
      <c r="P45" s="72"/>
      <c r="Q45" s="72"/>
      <c r="R45" s="72"/>
      <c r="S45" s="72"/>
      <c r="T45" s="72"/>
      <c r="U45" s="72"/>
      <c r="V45" s="72"/>
      <c r="W45" s="72"/>
      <c r="X45" s="72"/>
      <c r="Y45" s="72"/>
      <c r="Z45" s="72"/>
      <c r="AA45" s="72"/>
      <c r="AB45" s="72"/>
      <c r="AC45" s="72"/>
      <c r="AD45" s="72"/>
      <c r="AE45" s="72"/>
      <c r="AF45" s="72"/>
      <c r="AG45" s="72"/>
      <c r="AH45" s="72"/>
      <c r="AI45" s="72"/>
      <c r="AJ45" s="72"/>
      <c r="AK45" s="72"/>
      <c r="AL45" s="72"/>
      <c r="AM45" s="72"/>
      <c r="AN45" s="72"/>
      <c r="AO45" s="72"/>
      <c r="AP45" s="72"/>
      <c r="AQ45" s="72"/>
      <c r="AR45" s="72"/>
      <c r="AS45" s="72"/>
      <c r="AT45" s="72"/>
      <c r="AU45" s="72"/>
      <c r="AV45" s="72"/>
      <c r="AW45" s="72"/>
      <c r="AX45" s="72"/>
      <c r="AY45" s="72"/>
      <c r="AZ45" s="72"/>
      <c r="BA45" s="72"/>
      <c r="BB45" s="72"/>
      <c r="BC45" s="72"/>
      <c r="BD45" s="72"/>
      <c r="BE45" s="72"/>
      <c r="BF45" s="72"/>
      <c r="BG45" s="72"/>
      <c r="BH45" s="72"/>
      <c r="BI45" s="72"/>
      <c r="BJ45" s="72"/>
      <c r="BK45" s="72"/>
      <c r="BL45" s="72"/>
      <c r="BM45" s="72"/>
    </row>
    <row r="46" spans="1:65" s="73" customFormat="1" ht="21">
      <c r="A46" s="10"/>
      <c r="B46" s="65"/>
      <c r="C46" s="66"/>
      <c r="D46" s="67"/>
      <c r="E46" s="68"/>
      <c r="F46" s="69"/>
      <c r="G46" s="70"/>
      <c r="H46" s="71"/>
      <c r="I46" s="71" t="str">
        <f t="shared" ca="1" si="6"/>
        <v/>
      </c>
      <c r="J46" s="72"/>
      <c r="K46" s="72"/>
      <c r="L46" s="72"/>
      <c r="M46" s="72"/>
      <c r="N46" s="72"/>
      <c r="O46" s="72"/>
      <c r="P46" s="72"/>
      <c r="Q46" s="72"/>
      <c r="R46" s="72"/>
      <c r="S46" s="72"/>
      <c r="T46" s="72"/>
      <c r="U46" s="72"/>
      <c r="V46" s="72"/>
      <c r="W46" s="72"/>
      <c r="X46" s="72"/>
      <c r="Y46" s="72"/>
      <c r="Z46" s="72"/>
      <c r="AA46" s="72"/>
      <c r="AB46" s="72"/>
      <c r="AC46" s="72"/>
      <c r="AD46" s="72"/>
      <c r="AE46" s="72"/>
      <c r="AF46" s="72"/>
      <c r="AG46" s="72"/>
      <c r="AH46" s="72"/>
      <c r="AI46" s="72"/>
      <c r="AJ46" s="72"/>
      <c r="AK46" s="72"/>
      <c r="AL46" s="72"/>
      <c r="AM46" s="72"/>
      <c r="AN46" s="72"/>
      <c r="AO46" s="72"/>
      <c r="AP46" s="72"/>
      <c r="AQ46" s="72"/>
      <c r="AR46" s="72"/>
      <c r="AS46" s="72"/>
      <c r="AT46" s="72"/>
      <c r="AU46" s="72"/>
      <c r="AV46" s="72"/>
      <c r="AW46" s="72"/>
      <c r="AX46" s="72"/>
      <c r="AY46" s="72"/>
      <c r="AZ46" s="72"/>
      <c r="BA46" s="72"/>
      <c r="BB46" s="72"/>
      <c r="BC46" s="72"/>
      <c r="BD46" s="72"/>
      <c r="BE46" s="72"/>
      <c r="BF46" s="72"/>
      <c r="BG46" s="72"/>
      <c r="BH46" s="72"/>
      <c r="BI46" s="72"/>
      <c r="BJ46" s="72"/>
      <c r="BK46" s="72"/>
      <c r="BL46" s="72"/>
      <c r="BM46" s="72"/>
    </row>
    <row r="47" spans="1:65" s="73" customFormat="1" ht="21">
      <c r="A47" s="10"/>
      <c r="B47" s="65"/>
      <c r="C47" s="66"/>
      <c r="D47" s="67"/>
      <c r="E47" s="68"/>
      <c r="F47" s="69"/>
      <c r="G47" s="70"/>
      <c r="H47" s="71"/>
      <c r="I47" s="71" t="str">
        <f t="shared" ca="1" si="6"/>
        <v/>
      </c>
      <c r="J47" s="72"/>
      <c r="K47" s="72"/>
      <c r="L47" s="72"/>
      <c r="M47" s="72"/>
      <c r="N47" s="72"/>
      <c r="O47" s="72"/>
      <c r="P47" s="72"/>
      <c r="Q47" s="72"/>
      <c r="R47" s="72"/>
      <c r="S47" s="72"/>
      <c r="T47" s="72"/>
      <c r="U47" s="72"/>
      <c r="V47" s="72"/>
      <c r="W47" s="72"/>
      <c r="X47" s="72"/>
      <c r="Y47" s="72"/>
      <c r="Z47" s="72"/>
      <c r="AA47" s="72"/>
      <c r="AB47" s="72"/>
      <c r="AC47" s="72"/>
      <c r="AD47" s="72"/>
      <c r="AE47" s="72"/>
      <c r="AF47" s="72"/>
      <c r="AG47" s="72"/>
      <c r="AH47" s="72"/>
      <c r="AI47" s="72"/>
      <c r="AJ47" s="72"/>
      <c r="AK47" s="72"/>
      <c r="AL47" s="72"/>
      <c r="AM47" s="72"/>
      <c r="AN47" s="72"/>
      <c r="AO47" s="72"/>
      <c r="AP47" s="72"/>
      <c r="AQ47" s="72"/>
      <c r="AR47" s="72"/>
      <c r="AS47" s="72"/>
      <c r="AT47" s="72"/>
      <c r="AU47" s="72"/>
      <c r="AV47" s="72"/>
      <c r="AW47" s="72"/>
      <c r="AX47" s="72"/>
      <c r="AY47" s="72"/>
      <c r="AZ47" s="72"/>
      <c r="BA47" s="72"/>
      <c r="BB47" s="72"/>
      <c r="BC47" s="72"/>
      <c r="BD47" s="72"/>
      <c r="BE47" s="72"/>
      <c r="BF47" s="72"/>
      <c r="BG47" s="72"/>
      <c r="BH47" s="72"/>
      <c r="BI47" s="72"/>
      <c r="BJ47" s="72"/>
      <c r="BK47" s="72"/>
      <c r="BL47" s="72"/>
      <c r="BM47" s="72"/>
    </row>
    <row r="48" spans="1:65" s="73" customFormat="1" ht="21">
      <c r="A48" s="10"/>
      <c r="B48" s="65"/>
      <c r="C48" s="66"/>
      <c r="D48" s="67"/>
      <c r="E48" s="68"/>
      <c r="F48" s="69"/>
      <c r="G48" s="70"/>
      <c r="H48" s="71"/>
      <c r="I48" s="71" t="str">
        <f t="shared" ca="1" si="6"/>
        <v/>
      </c>
      <c r="J48" s="72"/>
      <c r="K48" s="72"/>
      <c r="L48" s="72"/>
      <c r="M48" s="72"/>
      <c r="N48" s="72"/>
      <c r="O48" s="72"/>
      <c r="P48" s="72"/>
      <c r="Q48" s="72"/>
      <c r="R48" s="72"/>
      <c r="S48" s="72"/>
      <c r="T48" s="72"/>
      <c r="U48" s="72"/>
      <c r="V48" s="72"/>
      <c r="W48" s="72"/>
      <c r="X48" s="72"/>
      <c r="Y48" s="72"/>
      <c r="Z48" s="72"/>
      <c r="AA48" s="72"/>
      <c r="AB48" s="72"/>
      <c r="AC48" s="72"/>
      <c r="AD48" s="72"/>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2"/>
      <c r="BC48" s="72"/>
      <c r="BD48" s="72"/>
      <c r="BE48" s="72"/>
      <c r="BF48" s="72"/>
      <c r="BG48" s="72"/>
      <c r="BH48" s="72"/>
      <c r="BI48" s="72"/>
      <c r="BJ48" s="72"/>
      <c r="BK48" s="72"/>
      <c r="BL48" s="72"/>
      <c r="BM48" s="72"/>
    </row>
    <row r="49" spans="1:65" s="73" customFormat="1" ht="21">
      <c r="A49" s="10"/>
      <c r="B49" s="65"/>
      <c r="C49" s="66"/>
      <c r="D49" s="67"/>
      <c r="E49" s="68"/>
      <c r="F49" s="69"/>
      <c r="G49" s="70"/>
      <c r="H49" s="71"/>
      <c r="I49" s="71" t="str">
        <f t="shared" ca="1" si="6"/>
        <v/>
      </c>
      <c r="J49" s="72"/>
      <c r="K49" s="72"/>
      <c r="L49" s="72"/>
      <c r="M49" s="72"/>
      <c r="N49" s="72"/>
      <c r="O49" s="72"/>
      <c r="P49" s="72"/>
      <c r="Q49" s="72"/>
      <c r="R49" s="72"/>
      <c r="S49" s="72"/>
      <c r="T49" s="72"/>
      <c r="U49" s="72"/>
      <c r="V49" s="72"/>
      <c r="W49" s="72"/>
      <c r="X49" s="72"/>
      <c r="Y49" s="72"/>
      <c r="Z49" s="72"/>
      <c r="AA49" s="72"/>
      <c r="AB49" s="72"/>
      <c r="AC49" s="72"/>
      <c r="AD49" s="72"/>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row>
    <row r="50" spans="1:65" s="73" customFormat="1" ht="21">
      <c r="A50" s="10"/>
      <c r="B50" s="65"/>
      <c r="C50" s="66"/>
      <c r="D50" s="67"/>
      <c r="E50" s="68"/>
      <c r="F50" s="69"/>
      <c r="G50" s="70"/>
      <c r="H50" s="71"/>
      <c r="I50" s="71"/>
      <c r="J50" s="72"/>
      <c r="K50" s="72"/>
      <c r="L50" s="72"/>
      <c r="M50" s="72"/>
      <c r="N50" s="72"/>
      <c r="O50" s="72"/>
      <c r="P50" s="72"/>
      <c r="Q50" s="72"/>
      <c r="R50" s="72"/>
      <c r="S50" s="72"/>
      <c r="T50" s="72"/>
      <c r="U50" s="72"/>
      <c r="V50" s="72"/>
      <c r="W50" s="72"/>
      <c r="X50" s="72"/>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row>
    <row r="51" spans="1:65" s="73" customFormat="1" ht="21">
      <c r="A51" s="10"/>
      <c r="B51" s="65"/>
      <c r="C51" s="66"/>
      <c r="D51" s="67"/>
      <c r="E51" s="68"/>
      <c r="F51" s="69"/>
      <c r="G51" s="70"/>
      <c r="H51" s="71"/>
      <c r="I51" s="71"/>
      <c r="J51" s="72"/>
      <c r="K51" s="72"/>
      <c r="L51" s="72"/>
      <c r="M51" s="72"/>
      <c r="N51" s="72"/>
      <c r="O51" s="72"/>
      <c r="P51" s="72"/>
      <c r="Q51" s="72"/>
      <c r="R51" s="72"/>
      <c r="S51" s="72"/>
      <c r="T51" s="72"/>
      <c r="U51" s="72"/>
      <c r="V51" s="72"/>
      <c r="W51" s="72"/>
      <c r="X51" s="72"/>
      <c r="Y51" s="72"/>
      <c r="Z51" s="72"/>
      <c r="AA51" s="72"/>
      <c r="AB51" s="72"/>
      <c r="AC51" s="72"/>
      <c r="AD51" s="72"/>
      <c r="AE51" s="72"/>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row>
    <row r="52" spans="1:65" s="73" customFormat="1" ht="21">
      <c r="A52" s="10"/>
      <c r="B52" s="65"/>
      <c r="C52" s="66"/>
      <c r="D52" s="67"/>
      <c r="E52" s="68"/>
      <c r="F52" s="69"/>
      <c r="G52" s="70"/>
      <c r="H52" s="71"/>
      <c r="I52" s="71"/>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72"/>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row>
    <row r="53" spans="1:65" s="73" customFormat="1" ht="21">
      <c r="A53" s="10"/>
      <c r="B53" s="65"/>
      <c r="C53" s="66"/>
      <c r="D53" s="67"/>
      <c r="E53" s="68"/>
      <c r="F53" s="69"/>
      <c r="G53" s="70"/>
      <c r="H53" s="71"/>
      <c r="I53" s="71"/>
      <c r="J53" s="72"/>
      <c r="K53" s="72"/>
      <c r="L53" s="72"/>
      <c r="M53" s="72"/>
      <c r="N53" s="72"/>
      <c r="O53" s="72"/>
      <c r="P53" s="72"/>
      <c r="Q53" s="72"/>
      <c r="R53" s="72"/>
      <c r="S53" s="72"/>
      <c r="T53" s="72"/>
      <c r="U53" s="72"/>
      <c r="V53" s="72"/>
      <c r="W53" s="72"/>
      <c r="X53" s="72"/>
      <c r="Y53" s="72"/>
      <c r="Z53" s="72"/>
      <c r="AA53" s="72"/>
      <c r="AB53" s="72"/>
      <c r="AC53" s="72"/>
      <c r="AD53" s="72"/>
      <c r="AE53" s="72"/>
      <c r="AF53" s="72"/>
      <c r="AG53" s="72"/>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72"/>
      <c r="BH53" s="72"/>
      <c r="BI53" s="72"/>
      <c r="BJ53" s="72"/>
      <c r="BK53" s="72"/>
      <c r="BL53" s="72"/>
      <c r="BM53" s="72"/>
    </row>
    <row r="54" spans="1:65" s="73" customFormat="1" ht="21">
      <c r="A54" s="10"/>
      <c r="B54" s="65"/>
      <c r="C54" s="66"/>
      <c r="D54" s="67"/>
      <c r="E54" s="68"/>
      <c r="F54" s="69"/>
      <c r="G54" s="70"/>
      <c r="H54" s="71"/>
      <c r="I54" s="71"/>
      <c r="J54" s="72"/>
      <c r="K54" s="72"/>
      <c r="L54" s="72"/>
      <c r="M54" s="72"/>
      <c r="N54" s="72"/>
      <c r="O54" s="72"/>
      <c r="P54" s="72"/>
      <c r="Q54" s="72"/>
      <c r="R54" s="72"/>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2"/>
      <c r="AU54" s="72"/>
      <c r="AV54" s="72"/>
      <c r="AW54" s="72"/>
      <c r="AX54" s="72"/>
      <c r="AY54" s="72"/>
      <c r="AZ54" s="72"/>
      <c r="BA54" s="72"/>
      <c r="BB54" s="72"/>
      <c r="BC54" s="72"/>
      <c r="BD54" s="72"/>
      <c r="BE54" s="72"/>
      <c r="BF54" s="72"/>
      <c r="BG54" s="72"/>
      <c r="BH54" s="72"/>
      <c r="BI54" s="72"/>
      <c r="BJ54" s="72"/>
      <c r="BK54" s="72"/>
      <c r="BL54" s="72"/>
      <c r="BM54" s="72"/>
    </row>
    <row r="55" spans="1:65" s="73" customFormat="1" ht="21">
      <c r="A55" s="10"/>
      <c r="B55" s="65"/>
      <c r="C55" s="66"/>
      <c r="D55" s="67"/>
      <c r="E55" s="68"/>
      <c r="F55" s="69"/>
      <c r="G55" s="70"/>
      <c r="H55" s="71"/>
      <c r="I55" s="71"/>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72"/>
      <c r="BD55" s="72"/>
      <c r="BE55" s="72"/>
      <c r="BF55" s="72"/>
      <c r="BG55" s="72"/>
      <c r="BH55" s="72"/>
      <c r="BI55" s="72"/>
      <c r="BJ55" s="72"/>
      <c r="BK55" s="72"/>
      <c r="BL55" s="72"/>
      <c r="BM55" s="72"/>
    </row>
    <row r="56" spans="1:65" s="73" customFormat="1" ht="21">
      <c r="A56" s="10"/>
      <c r="B56" s="65"/>
      <c r="C56" s="66"/>
      <c r="D56" s="67"/>
      <c r="E56" s="68"/>
      <c r="F56" s="69"/>
      <c r="G56" s="70"/>
      <c r="H56" s="71"/>
      <c r="I56" s="71"/>
      <c r="J56" s="72"/>
      <c r="K56" s="72"/>
      <c r="L56" s="72"/>
      <c r="M56" s="72"/>
      <c r="N56" s="72"/>
      <c r="O56" s="72"/>
      <c r="P56" s="72"/>
      <c r="Q56" s="72"/>
      <c r="R56" s="72"/>
      <c r="S56" s="72"/>
      <c r="T56" s="72"/>
      <c r="U56" s="72"/>
      <c r="V56" s="72"/>
      <c r="W56" s="72"/>
      <c r="X56" s="72"/>
      <c r="Y56" s="72"/>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row>
    <row r="57" spans="1:65" s="73" customFormat="1" ht="21">
      <c r="A57" s="10"/>
      <c r="B57" s="65"/>
      <c r="C57" s="66"/>
      <c r="D57" s="67"/>
      <c r="E57" s="68"/>
      <c r="F57" s="69"/>
      <c r="G57" s="70"/>
      <c r="H57" s="71"/>
      <c r="I57" s="71"/>
      <c r="J57" s="72"/>
      <c r="K57" s="72"/>
      <c r="L57" s="72"/>
      <c r="M57" s="72"/>
      <c r="N57" s="72"/>
      <c r="O57" s="72"/>
      <c r="P57" s="72"/>
      <c r="Q57" s="72"/>
      <c r="R57" s="72"/>
      <c r="S57" s="72"/>
      <c r="T57" s="72"/>
      <c r="U57" s="72"/>
      <c r="V57" s="72"/>
      <c r="W57" s="72"/>
      <c r="X57" s="72"/>
      <c r="Y57" s="72"/>
      <c r="Z57" s="72"/>
      <c r="AA57" s="72"/>
      <c r="AB57" s="72"/>
      <c r="AC57" s="72"/>
      <c r="AD57" s="72"/>
      <c r="AE57" s="72"/>
      <c r="AF57" s="72"/>
      <c r="AG57" s="72"/>
      <c r="AH57" s="72"/>
      <c r="AI57" s="72"/>
      <c r="AJ57" s="72"/>
      <c r="AK57" s="72"/>
      <c r="AL57" s="72"/>
      <c r="AM57" s="72"/>
      <c r="AN57" s="72"/>
      <c r="AO57" s="72"/>
      <c r="AP57" s="72"/>
      <c r="AQ57" s="72"/>
      <c r="AR57" s="72"/>
      <c r="AS57" s="72"/>
      <c r="AT57" s="72"/>
      <c r="AU57" s="72"/>
      <c r="AV57" s="72"/>
      <c r="AW57" s="72"/>
      <c r="AX57" s="72"/>
      <c r="AY57" s="72"/>
      <c r="AZ57" s="72"/>
      <c r="BA57" s="72"/>
      <c r="BB57" s="72"/>
      <c r="BC57" s="72"/>
      <c r="BD57" s="72"/>
      <c r="BE57" s="72"/>
      <c r="BF57" s="72"/>
      <c r="BG57" s="72"/>
      <c r="BH57" s="72"/>
      <c r="BI57" s="72"/>
      <c r="BJ57" s="72"/>
      <c r="BK57" s="72"/>
      <c r="BL57" s="72"/>
      <c r="BM57" s="72"/>
    </row>
    <row r="58" spans="1:65" s="73" customFormat="1" ht="21">
      <c r="A58" s="10"/>
      <c r="B58" s="65"/>
      <c r="C58" s="66"/>
      <c r="D58" s="67"/>
      <c r="E58" s="68"/>
      <c r="F58" s="69"/>
      <c r="G58" s="70"/>
      <c r="H58" s="71"/>
      <c r="I58" s="71"/>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72"/>
      <c r="BH58" s="72"/>
      <c r="BI58" s="72"/>
      <c r="BJ58" s="72"/>
      <c r="BK58" s="72"/>
      <c r="BL58" s="72"/>
      <c r="BM58" s="72"/>
    </row>
    <row r="59" spans="1:65" s="73" customFormat="1" ht="21">
      <c r="A59" s="10"/>
      <c r="B59" s="65"/>
      <c r="C59" s="66"/>
      <c r="D59" s="67"/>
      <c r="E59" s="68"/>
      <c r="F59" s="69"/>
      <c r="G59" s="70"/>
      <c r="H59" s="71"/>
      <c r="I59" s="71"/>
      <c r="J59" s="72"/>
      <c r="K59" s="72"/>
      <c r="L59" s="72"/>
      <c r="M59" s="72"/>
      <c r="N59" s="72"/>
      <c r="O59" s="72"/>
      <c r="P59" s="72"/>
      <c r="Q59" s="72"/>
      <c r="R59" s="72"/>
      <c r="S59" s="72"/>
      <c r="T59" s="72"/>
      <c r="U59" s="72"/>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72"/>
      <c r="BH59" s="72"/>
      <c r="BI59" s="72"/>
      <c r="BJ59" s="72"/>
      <c r="BK59" s="72"/>
      <c r="BL59" s="72"/>
      <c r="BM59" s="72"/>
    </row>
    <row r="60" spans="1:65" s="73" customFormat="1" ht="21">
      <c r="A60" s="10"/>
      <c r="B60" s="65"/>
      <c r="C60" s="66"/>
      <c r="D60" s="67"/>
      <c r="E60" s="68"/>
      <c r="F60" s="69"/>
      <c r="G60" s="70"/>
      <c r="H60" s="71"/>
      <c r="I60" s="71"/>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72"/>
      <c r="BD60" s="72"/>
      <c r="BE60" s="72"/>
      <c r="BF60" s="72"/>
      <c r="BG60" s="72"/>
      <c r="BH60" s="72"/>
      <c r="BI60" s="72"/>
      <c r="BJ60" s="72"/>
      <c r="BK60" s="72"/>
      <c r="BL60" s="72"/>
      <c r="BM60" s="72"/>
    </row>
    <row r="61" spans="1:65" s="73" customFormat="1" ht="21">
      <c r="A61" s="10"/>
      <c r="B61" s="65"/>
      <c r="C61" s="66"/>
      <c r="D61" s="67"/>
      <c r="E61" s="68"/>
      <c r="F61" s="69"/>
      <c r="G61" s="70"/>
      <c r="H61" s="71"/>
      <c r="I61" s="71"/>
      <c r="J61" s="72"/>
      <c r="K61" s="72"/>
      <c r="L61" s="72"/>
      <c r="M61" s="72"/>
      <c r="N61" s="72"/>
      <c r="O61" s="72"/>
      <c r="P61" s="72"/>
      <c r="Q61" s="72"/>
      <c r="R61" s="72"/>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2"/>
      <c r="BD61" s="72"/>
      <c r="BE61" s="72"/>
      <c r="BF61" s="72"/>
      <c r="BG61" s="72"/>
      <c r="BH61" s="72"/>
      <c r="BI61" s="72"/>
      <c r="BJ61" s="72"/>
      <c r="BK61" s="72"/>
      <c r="BL61" s="72"/>
      <c r="BM61" s="72"/>
    </row>
    <row r="62" spans="1:65" s="73" customFormat="1" ht="21">
      <c r="A62" s="10"/>
      <c r="B62" s="65"/>
      <c r="C62" s="66"/>
      <c r="D62" s="67"/>
      <c r="E62" s="68"/>
      <c r="F62" s="69"/>
      <c r="G62" s="70"/>
      <c r="H62" s="71"/>
      <c r="I62" s="71"/>
      <c r="J62" s="72"/>
      <c r="K62" s="72"/>
      <c r="L62" s="72"/>
      <c r="M62" s="72"/>
      <c r="N62" s="72"/>
      <c r="O62" s="72"/>
      <c r="P62" s="72"/>
      <c r="Q62" s="72"/>
      <c r="R62" s="72"/>
      <c r="S62" s="72"/>
      <c r="T62" s="72"/>
      <c r="U62" s="72"/>
      <c r="V62" s="72"/>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72"/>
      <c r="BH62" s="72"/>
      <c r="BI62" s="72"/>
      <c r="BJ62" s="72"/>
      <c r="BK62" s="72"/>
      <c r="BL62" s="72"/>
      <c r="BM62" s="72"/>
    </row>
    <row r="63" spans="1:65" s="73" customFormat="1" ht="21">
      <c r="A63" s="10"/>
      <c r="B63" s="65"/>
      <c r="C63" s="66"/>
      <c r="D63" s="67"/>
      <c r="E63" s="68"/>
      <c r="F63" s="69"/>
      <c r="G63" s="70"/>
      <c r="H63" s="71"/>
      <c r="I63" s="71"/>
      <c r="J63" s="72"/>
      <c r="K63" s="72"/>
      <c r="L63" s="72"/>
      <c r="M63" s="72"/>
      <c r="N63" s="72"/>
      <c r="O63" s="72"/>
      <c r="P63" s="72"/>
      <c r="Q63" s="72"/>
      <c r="R63" s="72"/>
      <c r="S63" s="72"/>
      <c r="T63" s="72"/>
      <c r="U63" s="72"/>
      <c r="V63" s="72"/>
      <c r="W63" s="72"/>
      <c r="X63" s="72"/>
      <c r="Y63" s="72"/>
      <c r="Z63" s="72"/>
      <c r="AA63" s="72"/>
      <c r="AB63" s="72"/>
      <c r="AC63" s="72"/>
      <c r="AD63" s="72"/>
      <c r="AE63" s="72"/>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row>
    <row r="64" spans="1:65" s="73" customFormat="1" ht="21">
      <c r="A64" s="10"/>
      <c r="B64" s="65"/>
      <c r="C64" s="66"/>
      <c r="D64" s="67"/>
      <c r="E64" s="68"/>
      <c r="F64" s="69"/>
      <c r="G64" s="70"/>
      <c r="H64" s="71"/>
      <c r="I64" s="71"/>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row>
    <row r="65" spans="1:65" s="73" customFormat="1" ht="21">
      <c r="A65" s="10"/>
      <c r="B65" s="65"/>
      <c r="C65" s="66"/>
      <c r="D65" s="67"/>
      <c r="E65" s="68"/>
      <c r="F65" s="69"/>
      <c r="G65" s="70"/>
      <c r="H65" s="71"/>
      <c r="I65" s="71"/>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row>
    <row r="66" spans="1:65" s="73" customFormat="1" ht="21">
      <c r="A66" s="10"/>
      <c r="B66" s="65"/>
      <c r="C66" s="66"/>
      <c r="D66" s="67"/>
      <c r="E66" s="68"/>
      <c r="F66" s="69"/>
      <c r="G66" s="70"/>
      <c r="H66" s="71"/>
      <c r="I66" s="71"/>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row>
    <row r="67" spans="1:65" s="73" customFormat="1" ht="21">
      <c r="A67" s="10"/>
      <c r="B67" s="65"/>
      <c r="C67" s="66"/>
      <c r="D67" s="67"/>
      <c r="E67" s="68"/>
      <c r="F67" s="69"/>
      <c r="G67" s="70"/>
      <c r="H67" s="71"/>
      <c r="I67" s="71"/>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row>
    <row r="68" spans="1:65" s="73" customFormat="1" ht="21">
      <c r="A68" s="10"/>
      <c r="B68" s="65"/>
      <c r="C68" s="66"/>
      <c r="D68" s="67"/>
      <c r="E68" s="68"/>
      <c r="F68" s="69"/>
      <c r="G68" s="70"/>
      <c r="H68" s="71"/>
      <c r="I68" s="71"/>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row>
    <row r="69" spans="1:65" s="73" customFormat="1" ht="21">
      <c r="A69" s="10"/>
      <c r="B69" s="65"/>
      <c r="C69" s="66"/>
      <c r="D69" s="67"/>
      <c r="E69" s="68"/>
      <c r="F69" s="69"/>
      <c r="G69" s="70"/>
      <c r="H69" s="71"/>
      <c r="I69" s="71"/>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row>
    <row r="70" spans="1:65" s="73" customFormat="1" ht="21">
      <c r="A70" s="10"/>
      <c r="B70" s="65"/>
      <c r="C70" s="66"/>
      <c r="D70" s="67"/>
      <c r="E70" s="68"/>
      <c r="F70" s="69"/>
      <c r="G70" s="70"/>
      <c r="H70" s="71"/>
      <c r="I70" s="71"/>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row>
    <row r="71" spans="1:65" s="73" customFormat="1" ht="21">
      <c r="A71" s="10"/>
      <c r="B71" s="65"/>
      <c r="C71" s="66"/>
      <c r="D71" s="67"/>
      <c r="E71" s="68"/>
      <c r="F71" s="69"/>
      <c r="G71" s="70"/>
      <c r="H71" s="71"/>
      <c r="I71" s="71"/>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row>
    <row r="72" spans="1:65" s="73" customFormat="1" ht="21">
      <c r="A72" s="10"/>
      <c r="B72" s="65"/>
      <c r="C72" s="66"/>
      <c r="D72" s="67"/>
      <c r="E72" s="68"/>
      <c r="F72" s="69"/>
      <c r="G72" s="70"/>
      <c r="H72" s="71"/>
      <c r="I72" s="71"/>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row>
    <row r="73" spans="1:65" s="73" customFormat="1" ht="21">
      <c r="A73" s="10"/>
      <c r="B73" s="65"/>
      <c r="C73" s="66"/>
      <c r="D73" s="67"/>
      <c r="E73" s="68"/>
      <c r="F73" s="69"/>
      <c r="G73" s="70"/>
      <c r="H73" s="71"/>
      <c r="I73" s="71"/>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row>
    <row r="74" spans="1:65" s="73" customFormat="1" ht="21">
      <c r="A74" s="10"/>
      <c r="B74" s="65"/>
      <c r="C74" s="66"/>
      <c r="D74" s="67"/>
      <c r="E74" s="68"/>
      <c r="F74" s="69"/>
      <c r="G74" s="70"/>
      <c r="H74" s="71"/>
      <c r="I74" s="71"/>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row>
    <row r="75" spans="1:65" s="73" customFormat="1" ht="21">
      <c r="A75" s="10"/>
      <c r="B75" s="65"/>
      <c r="C75" s="66"/>
      <c r="D75" s="67"/>
      <c r="E75" s="68"/>
      <c r="F75" s="69"/>
      <c r="G75" s="70"/>
      <c r="H75" s="71"/>
      <c r="I75" s="71"/>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row>
    <row r="76" spans="1:65" s="73" customFormat="1" ht="21">
      <c r="A76" s="10"/>
      <c r="B76" s="65"/>
      <c r="C76" s="66"/>
      <c r="D76" s="67"/>
      <c r="E76" s="68"/>
      <c r="F76" s="69"/>
      <c r="G76" s="70"/>
      <c r="H76" s="71"/>
      <c r="I76" s="71"/>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row>
    <row r="77" spans="1:65" s="73" customFormat="1" ht="21">
      <c r="A77" s="10"/>
      <c r="B77" s="65"/>
      <c r="C77" s="66"/>
      <c r="D77" s="67"/>
      <c r="E77" s="68"/>
      <c r="F77" s="69"/>
      <c r="G77" s="70"/>
      <c r="H77" s="71"/>
      <c r="I77" s="71"/>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row>
    <row r="78" spans="1:65" s="73" customFormat="1" ht="21">
      <c r="A78" s="10"/>
      <c r="B78" s="65"/>
      <c r="C78" s="66"/>
      <c r="D78" s="67"/>
      <c r="E78" s="68"/>
      <c r="F78" s="69"/>
      <c r="G78" s="70"/>
      <c r="H78" s="71"/>
      <c r="I78" s="71" t="str">
        <f t="shared" ca="1" si="6"/>
        <v/>
      </c>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row>
    <row r="79" spans="1:65" s="73" customFormat="1" ht="21">
      <c r="A79" s="10"/>
      <c r="B79" s="65"/>
      <c r="C79" s="66"/>
      <c r="D79" s="67"/>
      <c r="E79" s="68"/>
      <c r="F79" s="69"/>
      <c r="G79" s="70"/>
      <c r="H79" s="71"/>
      <c r="I79" s="71" t="str">
        <f t="shared" ca="1" si="6"/>
        <v/>
      </c>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row>
    <row r="80" spans="1:65" s="73" customFormat="1" ht="21">
      <c r="A80" s="10"/>
      <c r="B80" s="65"/>
      <c r="C80" s="66"/>
      <c r="D80" s="67"/>
      <c r="E80" s="68"/>
      <c r="F80" s="69"/>
      <c r="G80" s="70"/>
      <c r="H80" s="71"/>
      <c r="I80" s="71" t="str">
        <f t="shared" ca="1" si="6"/>
        <v/>
      </c>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row>
    <row r="81" spans="1:65" s="73" customFormat="1" ht="21">
      <c r="A81" s="10"/>
      <c r="B81" s="74" t="s">
        <v>71</v>
      </c>
      <c r="C81" s="75"/>
      <c r="D81" s="76"/>
      <c r="E81" s="77"/>
      <c r="F81" s="78"/>
      <c r="G81" s="79"/>
      <c r="H81" s="80"/>
      <c r="I81" s="80" t="str">
        <f t="shared" ca="1" si="6"/>
        <v/>
      </c>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row>
    <row r="82" spans="1:65" ht="21">
      <c r="A82" s="10"/>
      <c r="H82" s="5"/>
    </row>
    <row r="83" spans="1:65">
      <c r="B83" s="8" t="s">
        <v>72</v>
      </c>
      <c r="C83" s="8"/>
      <c r="D83" s="8"/>
      <c r="G83" s="21">
        <v>43113</v>
      </c>
    </row>
    <row r="84" spans="1:65">
      <c r="B84" s="25" t="s">
        <v>73</v>
      </c>
      <c r="C84" s="25"/>
      <c r="D84" s="9"/>
    </row>
    <row r="85" spans="1:65">
      <c r="B85" s="24" t="s">
        <v>74</v>
      </c>
      <c r="C85" s="24"/>
    </row>
  </sheetData>
  <mergeCells count="9">
    <mergeCell ref="K1:AB1"/>
    <mergeCell ref="AL4:AR4"/>
    <mergeCell ref="AS4:AY4"/>
    <mergeCell ref="AZ4:BF4"/>
    <mergeCell ref="BG4:BM4"/>
    <mergeCell ref="J4:P4"/>
    <mergeCell ref="Q4:W4"/>
    <mergeCell ref="X4:AD4"/>
    <mergeCell ref="AE4:AK4"/>
  </mergeCells>
  <conditionalFormatting sqref="E7:E81">
    <cfRule type="dataBar" priority="13">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J28:BM81 J27:AI27 AM27:BM27 AK27 J20:BM26 J19:AE19 AT19:BM19 AG19:AI19 AL19:AR19 J5:BM11 J13:BM18 J12:X12 AB12:BM12 Z12">
    <cfRule type="expression" dxfId="14" priority="28">
      <formula>AND(today&gt;=J$5,today&lt;J$5+1)</formula>
    </cfRule>
  </conditionalFormatting>
  <conditionalFormatting sqref="J28:BM81 J27:AI27 AM27:BM27 AK27 J20:BM26 J19:AE19 AT19:BM19 AG19:AI19 AL19:AR19 J7:BM11 J13:BM18 J12:X12 AB12:BM12 Z12">
    <cfRule type="expression" dxfId="13" priority="26">
      <formula>AND(task_start&lt;=J$5,ROUNDDOWN((task_end-task_start+1)*task_progress,0)+task_start-1&gt;=J$5)</formula>
    </cfRule>
    <cfRule type="expression" dxfId="12" priority="27" stopIfTrue="1">
      <formula>AND(task_end&gt;=J$5,task_start&lt;J$5+1)</formula>
    </cfRule>
  </conditionalFormatting>
  <conditionalFormatting sqref="AL27">
    <cfRule type="expression" dxfId="11" priority="30">
      <formula>AND(today&gt;=AJ$5,today&lt;AJ$5+1)</formula>
    </cfRule>
  </conditionalFormatting>
  <conditionalFormatting sqref="AL27">
    <cfRule type="expression" dxfId="10" priority="34">
      <formula>AND(task_start&lt;=AJ$5,ROUNDDOWN((task_end-task_start+1)*task_progress,0)+task_start-1&gt;=AJ$5)</formula>
    </cfRule>
    <cfRule type="expression" dxfId="9" priority="35" stopIfTrue="1">
      <formula>AND(task_end&gt;=AJ$5,task_start&lt;AJ$5+1)</formula>
    </cfRule>
  </conditionalFormatting>
  <conditionalFormatting sqref="AS19">
    <cfRule type="expression" dxfId="8" priority="37">
      <formula>AND(today&gt;=AF$5,today&lt;AF$5+1)</formula>
    </cfRule>
  </conditionalFormatting>
  <conditionalFormatting sqref="AS19">
    <cfRule type="expression" dxfId="7" priority="40">
      <formula>AND(task_start&lt;=AF$5,ROUNDDOWN((task_end-task_start+1)*task_progress,0)+task_start-1&gt;=AF$5)</formula>
    </cfRule>
    <cfRule type="expression" dxfId="6" priority="41" stopIfTrue="1">
      <formula>AND(task_end&gt;=AF$5,task_start&lt;AF$5+1)</formula>
    </cfRule>
  </conditionalFormatting>
  <conditionalFormatting sqref="AK19">
    <cfRule type="expression" dxfId="5" priority="43">
      <formula>AND(today&gt;=AJ$5,today&lt;AJ$5+1)</formula>
    </cfRule>
  </conditionalFormatting>
  <conditionalFormatting sqref="AK19">
    <cfRule type="expression" dxfId="4" priority="46">
      <formula>AND(task_start&lt;=AJ$5,ROUNDDOWN((task_end-task_start+1)*task_progress,0)+task_start-1&gt;=AJ$5)</formula>
    </cfRule>
    <cfRule type="expression" dxfId="3" priority="47" stopIfTrue="1">
      <formula>AND(task_end&gt;=AJ$5,task_start&lt;AJ$5+1)</formula>
    </cfRule>
  </conditionalFormatting>
  <conditionalFormatting sqref="Y12">
    <cfRule type="expression" dxfId="2" priority="49">
      <formula>AND(today&gt;=AA$5,today&lt;AA$5+1)</formula>
    </cfRule>
  </conditionalFormatting>
  <conditionalFormatting sqref="Y12">
    <cfRule type="expression" dxfId="1" priority="52">
      <formula>AND(task_start&lt;=AA$5,ROUNDDOWN((task_end-task_start+1)*task_progress,0)+task_start-1&gt;=AA$5)</formula>
    </cfRule>
    <cfRule type="expression" dxfId="0" priority="53" stopIfTrue="1">
      <formula>AND(task_end&gt;=AA$5,task_start&lt;AA$5+1)</formula>
    </cfRule>
  </conditionalFormatting>
  <dataValidations count="1">
    <dataValidation type="whole" operator="greaterThanOrEqual" allowBlank="1" showInputMessage="1" promptTitle="Display Week" prompt="Changing this number will scroll the Gantt Chart view." sqref="F4" xr:uid="{00000000-0002-0000-0000-000000000000}">
      <formula1>1</formula1>
    </dataValidation>
  </dataValidations>
  <hyperlinks>
    <hyperlink ref="B84" r:id="rId1" xr:uid="{00000000-0004-0000-0000-000000000000}"/>
    <hyperlink ref="B83" r:id="rId2" xr:uid="{00000000-0004-0000-0000-000001000000}"/>
  </hyperlinks>
  <pageMargins left="0.35" right="0.35" top="0.35" bottom="0.5" header="0.3" footer="0.3"/>
  <pageSetup scale="62" fitToHeight="0" orientation="landscape" r:id="rId3"/>
  <headerFooter scaleWithDoc="0"/>
  <legacy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E7:E81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5711-9899-4D55-968B-AE33DB5B4D6E}">
  <dimension ref="A1:C48"/>
  <sheetViews>
    <sheetView showGridLines="0" topLeftCell="A2" zoomScaleNormal="100" workbookViewId="0">
      <selection activeCell="A2" sqref="A2"/>
    </sheetView>
  </sheetViews>
  <sheetFormatPr defaultColWidth="9.7109375" defaultRowHeight="15"/>
  <cols>
    <col min="1" max="1" width="13.42578125" style="39" customWidth="1"/>
    <col min="2" max="2" width="104" style="47" customWidth="1"/>
    <col min="3" max="16384" width="9.7109375" style="32"/>
  </cols>
  <sheetData>
    <row r="1" spans="1:2" ht="30" hidden="1">
      <c r="A1" s="30"/>
      <c r="B1" s="31" t="s">
        <v>75</v>
      </c>
    </row>
    <row r="2" spans="1:2" ht="39">
      <c r="A2" s="48" t="s">
        <v>76</v>
      </c>
      <c r="B2" s="49"/>
    </row>
    <row r="3" spans="1:2" ht="23.25">
      <c r="A3" s="50" t="s">
        <v>77</v>
      </c>
      <c r="B3" s="51"/>
    </row>
    <row r="4" spans="1:2" s="35" customFormat="1" ht="47.25">
      <c r="A4" s="33"/>
      <c r="B4" s="34" t="s">
        <v>78</v>
      </c>
    </row>
    <row r="5" spans="1:2" s="35" customFormat="1" ht="19.5">
      <c r="B5" s="36"/>
    </row>
    <row r="6" spans="1:2" s="35" customFormat="1" ht="19.5">
      <c r="B6" s="52" t="s">
        <v>79</v>
      </c>
    </row>
    <row r="7" spans="1:2" s="35" customFormat="1" ht="19.5">
      <c r="B7" s="36"/>
    </row>
    <row r="8" spans="1:2" s="37" customFormat="1" ht="27" customHeight="1">
      <c r="A8" s="53" t="s">
        <v>80</v>
      </c>
      <c r="B8" s="54" t="s">
        <v>81</v>
      </c>
    </row>
    <row r="9" spans="1:2" s="35" customFormat="1" ht="19.5">
      <c r="A9" s="55"/>
      <c r="B9" s="56" t="s">
        <v>82</v>
      </c>
    </row>
    <row r="10" spans="1:2" ht="15.75">
      <c r="A10" s="55"/>
      <c r="B10" s="38" t="s">
        <v>83</v>
      </c>
    </row>
    <row r="11" spans="1:2" ht="30" customHeight="1">
      <c r="A11" s="55"/>
      <c r="B11" s="57" t="s">
        <v>84</v>
      </c>
    </row>
    <row r="12" spans="1:2" ht="15.75">
      <c r="A12" s="55"/>
      <c r="B12" s="38" t="s">
        <v>85</v>
      </c>
    </row>
    <row r="13" spans="1:2" ht="30" customHeight="1">
      <c r="A13" s="55"/>
      <c r="B13" s="57" t="s">
        <v>86</v>
      </c>
    </row>
    <row r="14" spans="1:2" ht="15.75">
      <c r="A14" s="55"/>
      <c r="B14" s="38" t="s">
        <v>87</v>
      </c>
    </row>
    <row r="15" spans="1:2" s="39" customFormat="1" ht="30" customHeight="1">
      <c r="A15" s="55"/>
      <c r="B15" s="58" t="s">
        <v>88</v>
      </c>
    </row>
    <row r="16" spans="1:2" ht="15.75">
      <c r="A16" s="55"/>
      <c r="B16" s="38" t="s">
        <v>89</v>
      </c>
    </row>
    <row r="17" spans="1:3" ht="30" customHeight="1">
      <c r="A17" s="55"/>
      <c r="B17" s="57" t="s">
        <v>90</v>
      </c>
    </row>
    <row r="18" spans="1:3" ht="15.75">
      <c r="A18" s="55"/>
      <c r="B18" s="38" t="s">
        <v>91</v>
      </c>
    </row>
    <row r="19" spans="1:3" ht="30" customHeight="1">
      <c r="A19" s="55"/>
      <c r="B19" s="57" t="s">
        <v>92</v>
      </c>
    </row>
    <row r="20" spans="1:3" ht="15.75">
      <c r="A20" s="55"/>
      <c r="B20" s="38" t="s">
        <v>93</v>
      </c>
    </row>
    <row r="21" spans="1:3" s="39" customFormat="1" ht="30" customHeight="1">
      <c r="A21" s="55"/>
      <c r="B21" s="58"/>
    </row>
    <row r="22" spans="1:3" ht="15.75">
      <c r="A22" s="55"/>
      <c r="B22" s="38" t="s">
        <v>94</v>
      </c>
    </row>
    <row r="23" spans="1:3" ht="30" customHeight="1">
      <c r="A23" s="55"/>
      <c r="B23" s="57" t="s">
        <v>95</v>
      </c>
    </row>
    <row r="24" spans="1:3" ht="15.75">
      <c r="A24" s="55"/>
      <c r="B24" s="38" t="s">
        <v>96</v>
      </c>
    </row>
    <row r="25" spans="1:3" s="39" customFormat="1" ht="30" customHeight="1">
      <c r="A25" s="55"/>
      <c r="B25" s="58"/>
    </row>
    <row r="26" spans="1:3" ht="15.75">
      <c r="A26" s="55"/>
      <c r="B26" s="38" t="s">
        <v>97</v>
      </c>
    </row>
    <row r="27" spans="1:3" s="39" customFormat="1" ht="30" customHeight="1">
      <c r="A27" s="55"/>
      <c r="B27" s="58"/>
    </row>
    <row r="28" spans="1:3" s="35" customFormat="1" ht="19.5">
      <c r="A28" s="59"/>
      <c r="B28" s="36"/>
    </row>
    <row r="29" spans="1:3" s="37" customFormat="1" ht="27" customHeight="1">
      <c r="A29" s="53" t="s">
        <v>98</v>
      </c>
      <c r="B29" s="54" t="s">
        <v>99</v>
      </c>
    </row>
    <row r="30" spans="1:3" ht="152.44999999999999" customHeight="1">
      <c r="A30" s="60" t="s">
        <v>100</v>
      </c>
      <c r="B30" s="40" t="str">
        <f>_xlfn.TEXTJOIN(CHAR(10),FALSE,$B$37,AI_Rules,"Here are a few questions the user may have answered to give you more information",$B$10:$B$27,$B$39,$B$40,$B$41)</f>
        <v xml:space="preserve">Please make me a copyable table of a project schedule, rendered with markdown format so it can be directly copied into an Excel file. After the header, use only one delimiter row (|---|---|…|). In the first column are the Tasks. Here you will place the phase titles and subtasks. The second column is the Estimated Cost. Here you will use the given project location to assume the correct currency, but enter only numeric values without currency symbols. The third column is called Assigned To. Here, you will use the list of names based on role, or include the general role title such as Project Manager, Inspector, Electrician, etc. Leave the fourth column, Progress, blank. The 5th column is the Start Date of the task, and the 6th column is the End Date. Every row that includes a phase title should have all other cells in that row empty. Always write empty cells as |  | with two spaces. Based on the formatting described to you and the answers to the questions given, you will now generate the table. Come up with Phases, as many as needed, and subtasks for each phase. Tasks should be relevant and specific. Phase titles should be descriptive. Use general logic to assign team members, meaning generally only one task at a time per team member. Start and end dates should be realistic and based on educated guesses for how long that task should take. 
Rules for Editing the XLSX File
Always use openpyxl when editing .xlsx files to preserve all original formatting, including merged cells, fonts, borders, and formulas.
The end result of this conversation should be you giving the user a .xlsx file.
Write all dates as real Excel date values (using Python datetime objects) and set only cell.number_format = 'yyyy-mm-dd' to apply the date format. Do not modify cell.style or other properties.
You must follow all of the steps carefully and in order.
Read and follow every word of every line.
Do not skim or summarize.
Here are a few questions the user may have answered to give you more information
Q: What is the name or title of your project?  
Home Remodel
Q: What are you trying to accomplish with this project?  
Finish my basement, adding a bathroom (already plumbed), family room, and 2 bedrooms.
Q: When would you like the project to begin?  
December 1st 2025
Q: When would you like the project to be completed by?  
July 1st 2026
Q: In which city, state, country will this project be completed?
Denver, CO, USA
Q: What are the main steps or key parts of this project that you already know about?  
Q: How detailed would you like your project schedule to be?  
Not super detailed, just the big steps. Something I can send to my contractor.
Q: Is there anything else I should know to help create your project schedule?  
Q: If applicable, provide a list of names and their roles for assigning tasks.
Do not wrap the table in backticks. Always write empty cells as |  | with two spaces.  Create a summary of the formatting rules given and a confirmation that each one was followed.
Fill in the background of each row in a phase with a color specific to that phase, using light colors that will work well with the black text. Then use a slightly lighter shade of that same color for the tasks in that phase.
Now take that table and copy it into B7 of the ProjectSchedule worksheet within the file, but don't include the table header when you paste it in because I already have the table header in row 6. Edit B1 to be the project title and F2 to be the project start date, all in the ProjectSchedule worksheet. </v>
      </c>
      <c r="C30" s="41"/>
    </row>
    <row r="31" spans="1:3" s="35" customFormat="1" ht="19.5">
      <c r="B31" s="36"/>
    </row>
    <row r="32" spans="1:3" s="37" customFormat="1" ht="54" customHeight="1">
      <c r="A32" s="53" t="s">
        <v>101</v>
      </c>
      <c r="B32" s="54" t="s">
        <v>102</v>
      </c>
    </row>
    <row r="33" spans="1:2" ht="348.75">
      <c r="A33" s="60" t="s">
        <v>100</v>
      </c>
      <c r="B33" s="40" t="str">
        <f>_xlfn.TEXTJOIN(CHAR(10),FALSE,$B$37,"Here are a few questions the user may have answered to give you more information",$B$10:$B$27,$B$39)</f>
        <v>Please make me a copyable table of a project schedule, rendered with markdown format so it can be directly copied into an Excel file. After the header, use only one delimiter row (|---|---|…|). In the first column are the Tasks. Here you will place the phase titles and subtasks. The second column is the Estimated Cost. Here you will use the given project location to assume the correct currency, but enter only numeric values without currency symbols. The third column is called Assigned To. Here, you will use the list of names based on role, or include the general role title such as Project Manager, Inspector, Electrician, etc. Leave the fourth column, Progress, blank. The 5th column is the Start Date of the task, and the 6th column is the End Date. Every row that includes a phase title should have all other cells in that row empty. Always write empty cells as |  | with two spaces. Based on the formatting described to you and the answers to the questions given, you will now generate the table. Come up with Phases, as many as needed, and subtasks for each phase. Tasks should be relevant and specific. Phase titles should be descriptive. Use general logic to assign team members, meaning generally only one task at a time per team member. Start and end dates should be realistic and based on educated guesses for how long that task should take. 
Here are a few questions the user may have answered to give you more information
Q: What is the name or title of your project?  
Home Remodel
Q: What are you trying to accomplish with this project?  
Finish my basement, adding a bathroom (already plumbed), family room, and 2 bedrooms.
Q: When would you like the project to begin?  
December 1st 2025
Q: When would you like the project to be completed by?  
July 1st 2026
Q: In which city, state, country will this project be completed?
Denver, CO, USA
Q: What are the main steps or key parts of this project that you already know about?  
Q: How detailed would you like your project schedule to be?  
Not super detailed, just the big steps. Something I can send to my contractor.
Q: Is there anything else I should know to help create your project schedule?  
Q: If applicable, provide a list of names and their roles for assigning tasks.
Do not wrap the table in backticks. Always write empty cells as |  | with two spaces.  Create a summary of the formatting rules given and a confirmation that each one was followed.</v>
      </c>
    </row>
    <row r="34" spans="1:2" ht="26.25">
      <c r="B34" s="42"/>
    </row>
    <row r="35" spans="1:2" ht="23.25">
      <c r="A35" s="50" t="s">
        <v>103</v>
      </c>
      <c r="B35" s="51"/>
    </row>
    <row r="36" spans="1:2" ht="21">
      <c r="A36" s="43"/>
      <c r="B36" s="61" t="s">
        <v>104</v>
      </c>
    </row>
    <row r="37" spans="1:2" s="44" customFormat="1" ht="195">
      <c r="A37" s="43"/>
      <c r="B37" s="62" t="s">
        <v>105</v>
      </c>
    </row>
    <row r="38" spans="1:2" ht="21">
      <c r="A38" s="43"/>
      <c r="B38" s="61" t="s">
        <v>106</v>
      </c>
    </row>
    <row r="39" spans="1:2" ht="30">
      <c r="A39" s="43"/>
      <c r="B39" s="45" t="s">
        <v>107</v>
      </c>
    </row>
    <row r="40" spans="1:2" s="44" customFormat="1" ht="30">
      <c r="A40" s="43"/>
      <c r="B40" s="45" t="s">
        <v>108</v>
      </c>
    </row>
    <row r="41" spans="1:2" s="44" customFormat="1" ht="45">
      <c r="A41" s="43"/>
      <c r="B41" s="63" t="s">
        <v>109</v>
      </c>
    </row>
    <row r="42" spans="1:2" ht="21">
      <c r="A42" s="43"/>
      <c r="B42" s="61" t="s">
        <v>110</v>
      </c>
    </row>
    <row r="43" spans="1:2" ht="30">
      <c r="A43" s="43"/>
      <c r="B43" s="43" t="s">
        <v>111</v>
      </c>
    </row>
    <row r="44" spans="1:2">
      <c r="A44" s="43"/>
      <c r="B44" s="43" t="s">
        <v>112</v>
      </c>
    </row>
    <row r="45" spans="1:2" ht="30">
      <c r="A45" s="43"/>
      <c r="B45" s="46" t="s">
        <v>113</v>
      </c>
    </row>
    <row r="46" spans="1:2">
      <c r="A46" s="43"/>
      <c r="B46" s="46" t="s">
        <v>114</v>
      </c>
    </row>
    <row r="47" spans="1:2">
      <c r="A47" s="43"/>
      <c r="B47" s="46" t="s">
        <v>115</v>
      </c>
    </row>
    <row r="48" spans="1:2">
      <c r="A48" s="43"/>
      <c r="B48" s="46" t="s">
        <v>116</v>
      </c>
    </row>
  </sheetData>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22"/>
  <sheetViews>
    <sheetView showGridLines="0" zoomScaleNormal="100" workbookViewId="0"/>
  </sheetViews>
  <sheetFormatPr defaultColWidth="9.140625" defaultRowHeight="12.75"/>
  <cols>
    <col min="1" max="1" width="2.85546875" style="1" customWidth="1"/>
    <col min="2" max="2" width="87.140625" style="11" customWidth="1"/>
    <col min="3" max="16384" width="9.140625" style="1"/>
  </cols>
  <sheetData>
    <row r="1" spans="2:3" ht="46.5" customHeight="1"/>
    <row r="2" spans="2:3" s="13" customFormat="1" ht="15.75">
      <c r="B2" s="12" t="s">
        <v>72</v>
      </c>
      <c r="C2" s="12"/>
    </row>
    <row r="3" spans="2:3" s="15" customFormat="1" ht="13.5" customHeight="1">
      <c r="B3" s="14" t="s">
        <v>73</v>
      </c>
      <c r="C3" s="14"/>
    </row>
    <row r="4" spans="2:3">
      <c r="B4" s="23" t="s">
        <v>74</v>
      </c>
    </row>
    <row r="6" spans="2:3" s="16" customFormat="1" ht="26.25">
      <c r="B6" s="18" t="s">
        <v>117</v>
      </c>
    </row>
    <row r="7" spans="2:3" ht="60">
      <c r="B7" s="19" t="s">
        <v>118</v>
      </c>
    </row>
    <row r="8" spans="2:3" ht="15">
      <c r="B8" s="17"/>
    </row>
    <row r="9" spans="2:3" s="16" customFormat="1" ht="26.25">
      <c r="B9" s="18" t="s">
        <v>119</v>
      </c>
    </row>
    <row r="10" spans="2:3" ht="60">
      <c r="B10" s="19" t="s">
        <v>120</v>
      </c>
    </row>
    <row r="11" spans="2:3" ht="14.25">
      <c r="B11" s="20" t="s">
        <v>121</v>
      </c>
    </row>
    <row r="12" spans="2:3" ht="15">
      <c r="B12" s="17"/>
    </row>
    <row r="13" spans="2:3" ht="14.25">
      <c r="B13" s="26" t="str">
        <f>HYPERLINK("https://vertex42.link/HowToMakeAGanttChart","► Watch How This Gantt Chart Was Created")</f>
        <v>► Watch How This Gantt Chart Was Created</v>
      </c>
    </row>
    <row r="14" spans="2:3" ht="15">
      <c r="B14" s="17"/>
    </row>
    <row r="15" spans="2:3" s="16" customFormat="1" ht="26.25">
      <c r="B15" s="18" t="s">
        <v>122</v>
      </c>
    </row>
    <row r="16" spans="2:3" ht="30">
      <c r="B16" s="19" t="s">
        <v>123</v>
      </c>
    </row>
    <row r="17" spans="2:2" ht="14.25">
      <c r="B17" s="20" t="s">
        <v>124</v>
      </c>
    </row>
    <row r="18" spans="2:2" ht="15">
      <c r="B18" s="17"/>
    </row>
    <row r="19" spans="2:2" s="16" customFormat="1" ht="26.25">
      <c r="B19" s="18" t="s">
        <v>125</v>
      </c>
    </row>
    <row r="20" spans="2:2" ht="60">
      <c r="B20" s="19" t="s">
        <v>126</v>
      </c>
    </row>
    <row r="21" spans="2:2" ht="15">
      <c r="B21" s="17"/>
    </row>
    <row r="22" spans="2:2" ht="75">
      <c r="B22" s="19" t="s">
        <v>127</v>
      </c>
    </row>
  </sheetData>
  <hyperlinks>
    <hyperlink ref="B17" r:id="rId1" xr:uid="{00000000-0004-0000-0100-000000000000}"/>
    <hyperlink ref="B11" r:id="rId2" xr:uid="{00000000-0004-0000-0100-000001000000}"/>
    <hyperlink ref="B3" r:id="rId3" xr:uid="{00000000-0004-0000-0100-000002000000}"/>
    <hyperlink ref="B2" r:id="rId4" xr:uid="{00000000-0004-0000-0100-000003000000}"/>
  </hyperlinks>
  <pageMargins left="0.5" right="0.5" top="0.5" bottom="0.5" header="0.3" footer="0.3"/>
  <pageSetup orientation="portrait" r:id="rId5"/>
  <drawing r:id="rId6"/>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Simple Gantt Chart (AI Assisted)</dc:title>
  <dc:subject/>
  <dc:creator>Vertex42.com</dc:creator>
  <cp:keywords/>
  <dc:description>© 2018-2025 Vertex42 LLC. All Rights Reserved.</dc:description>
  <cp:lastModifiedBy/>
  <cp:revision/>
  <dcterms:created xsi:type="dcterms:W3CDTF">2017-01-09T18:01:51Z</dcterms:created>
  <dcterms:modified xsi:type="dcterms:W3CDTF">2026-02-18T10:57:16Z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ource">
    <vt:lpwstr>https://www.vertex42.com/</vt:lpwstr>
  </property>
  <property fmtid="{D5CDD505-2E9C-101B-9397-08002B2CF9AE}" pid="3" name="Copyright">
    <vt:lpwstr>© 2019-2025 Vertex42 LLC</vt:lpwstr>
  </property>
  <property fmtid="{D5CDD505-2E9C-101B-9397-08002B2CF9AE}" pid="4" name="Version">
    <vt:lpwstr>1.0.0</vt:lpwstr>
  </property>
</Properties>
</file>